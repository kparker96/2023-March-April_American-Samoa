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_Work/2023-March-April_American-Samoa/data/Sequencing/"/>
    </mc:Choice>
  </mc:AlternateContent>
  <xr:revisionPtr revIDLastSave="4" documentId="8_{989F3F47-D6EB-4FF3-94FF-916B1D5CE3B0}" xr6:coauthVersionLast="47" xr6:coauthVersionMax="47" xr10:uidLastSave="{16983C2C-C1DB-4446-A7AE-3DDFA09C3A81}"/>
  <bookViews>
    <workbookView xWindow="-120" yWindow="-120" windowWidth="29040" windowHeight="17520" xr2:uid="{A7390AE4-8683-4469-AD6E-025F481261D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" l="1"/>
  <c r="J22" i="2"/>
  <c r="J14" i="2"/>
  <c r="J13" i="2"/>
  <c r="J12" i="2"/>
  <c r="J35" i="2"/>
  <c r="J34" i="2"/>
  <c r="J33" i="2"/>
  <c r="J18" i="2"/>
  <c r="J15" i="2"/>
  <c r="J16" i="2"/>
  <c r="J9" i="2"/>
  <c r="J7" i="2"/>
  <c r="J8" i="2"/>
  <c r="J29" i="2"/>
  <c r="J27" i="2"/>
  <c r="J28" i="2"/>
  <c r="J11" i="2"/>
  <c r="J6" i="2"/>
  <c r="J10" i="2"/>
  <c r="J5" i="2"/>
  <c r="J3" i="2"/>
  <c r="J4" i="2"/>
  <c r="J32" i="2"/>
  <c r="J30" i="2"/>
  <c r="J31" i="2"/>
  <c r="J20" i="2"/>
  <c r="J17" i="2"/>
  <c r="J19" i="2"/>
  <c r="J25" i="2"/>
  <c r="J21" i="2"/>
  <c r="J24" i="2"/>
  <c r="J26" i="2"/>
</calcChain>
</file>

<file path=xl/sharedStrings.xml><?xml version="1.0" encoding="utf-8"?>
<sst xmlns="http://schemas.openxmlformats.org/spreadsheetml/2006/main" count="45" uniqueCount="45">
  <si>
    <t xml:space="preserve"> Sample                                           </t>
  </si>
  <si>
    <t xml:space="preserve"> 23313Brs_2023-ASGWAS-S08deep-Mgri-01_R24069        </t>
  </si>
  <si>
    <t xml:space="preserve"> 23313Brs_2023-ASGWAS-S08deep-Mgri-01_R24073        </t>
  </si>
  <si>
    <t xml:space="preserve"> 23313Brs_2023-ASGWAS-S08deep-Mgri-01_R24074        </t>
  </si>
  <si>
    <t xml:space="preserve"> 23313Brs_2023-ASGWAS-S08deep-Mgri-02_R24069        </t>
  </si>
  <si>
    <t xml:space="preserve"> 23313Brs_2023-ASGWAS-S08deep-Mgri-02_R24073        </t>
  </si>
  <si>
    <t xml:space="preserve"> 23313Brs_2023-ASGWAS-S08deep-Mgri-02_R24074        </t>
  </si>
  <si>
    <t xml:space="preserve"> 23313Brs_2023-ASGWAS-S08deep-Mgri-03_R24069        </t>
  </si>
  <si>
    <t xml:space="preserve"> 23313Brs_2023-ASGWAS-S08deep-Mgri-03_R24073        </t>
  </si>
  <si>
    <t xml:space="preserve"> 23313Brs_2023-ASGWAS-S08deep-Mgri-03_R24074        </t>
  </si>
  <si>
    <t xml:space="preserve"> 23313Brs_2023-ASGWAS-S08deep-Mgri-04_R24069        </t>
  </si>
  <si>
    <t xml:space="preserve"> 23313Brs_2023-ASGWAS-S08deep-Mgri-04_R24073        </t>
  </si>
  <si>
    <t xml:space="preserve"> 23313Brs_2023-ASGWAS-S08deep-Mgri-04_R24074        </t>
  </si>
  <si>
    <t xml:space="preserve"> 23313Brs_2023-ASGWAS-S08deep-Mgri-05_R24069        </t>
  </si>
  <si>
    <t xml:space="preserve"> 23313Brs_2023-ASGWAS-S08deep-Mgri-05_R24073        </t>
  </si>
  <si>
    <t xml:space="preserve"> 23313Brs_2023-ASGWAS-S08deep-Mgri-05_R24074        </t>
  </si>
  <si>
    <t xml:space="preserve"> 23313Brs_2023-ASGWAS-S08deep-Mgri-07_R24069        </t>
  </si>
  <si>
    <t xml:space="preserve"> 23313Brs_2023-ASGWAS-S08deep-Mgri-07_R24073        </t>
  </si>
  <si>
    <t xml:space="preserve"> 23313Brs_2023-ASGWAS-S08deep-Mgri-07_R24074        </t>
  </si>
  <si>
    <t xml:space="preserve"> 23313Brs_2023-ASGWAS-S08midd-Mgri-02_R24069        </t>
  </si>
  <si>
    <t xml:space="preserve"> 23313Brs_2023-ASGWAS-S08midd-Mgri-02_R24073        </t>
  </si>
  <si>
    <t xml:space="preserve"> 23313Brs_2023-ASGWAS-S08midd-Mgri-02_R24074        </t>
  </si>
  <si>
    <t xml:space="preserve"> 23313Brs_2023-ASGWAS-S08midd-Mgri-05_R24069        </t>
  </si>
  <si>
    <t xml:space="preserve"> 23313Brs_2023-ASGWAS-S08midd-Mgri-05_R24073        </t>
  </si>
  <si>
    <t xml:space="preserve"> 23313Brs_2023-ASGWAS-S08midd-Mgri-05_R24074        </t>
  </si>
  <si>
    <t xml:space="preserve"> 23313Brs_2023-ASGWAS-S08shall-Mgri-01_R24069       </t>
  </si>
  <si>
    <t xml:space="preserve"> 23313Brs_2023-ASGWAS-S08shall-Mgri-01_R24073       </t>
  </si>
  <si>
    <t xml:space="preserve"> 23313Brs_2023-ASGWAS-S08shall-Mgri-01_R24074       </t>
  </si>
  <si>
    <t xml:space="preserve"> 23313Brs_2023-ASGWAS-S08shall-Mgri-02_R24069       </t>
  </si>
  <si>
    <t xml:space="preserve"> 23313Brs_2023-ASGWAS-S08shall-Mgri-02_R24073       </t>
  </si>
  <si>
    <t xml:space="preserve"> 23313Brs_2023-ASGWAS-S08shall-Mgri-02_R24074       </t>
  </si>
  <si>
    <t xml:space="preserve"> 23313Brs_2023-ASGWAS-S08shall-Mgri-06_R24069       </t>
  </si>
  <si>
    <t xml:space="preserve"> 23313Brs_2023-ASGWAS-S08shall-Mgri-06_R24073       </t>
  </si>
  <si>
    <t xml:space="preserve"> 23313Brs_2023-ASGWAS-S08shall-Mgri-06_R24074       </t>
  </si>
  <si>
    <t xml:space="preserve"> FP: Concordantly 0× </t>
  </si>
  <si>
    <t xml:space="preserve"> FP: Concordantly 1× </t>
  </si>
  <si>
    <t xml:space="preserve"> FP: Concordantly ≥2× </t>
  </si>
  <si>
    <t xml:space="preserve"> FP: Overall Rate </t>
  </si>
  <si>
    <t xml:space="preserve"> SP: Concordantly 0× </t>
  </si>
  <si>
    <t xml:space="preserve"> SP: Concordantly 1× </t>
  </si>
  <si>
    <t xml:space="preserve"> SP: Concordantly ≥2× </t>
  </si>
  <si>
    <t xml:space="preserve"> SP: Overall Rate </t>
  </si>
  <si>
    <t>SP-FP: Overall Rate</t>
  </si>
  <si>
    <t>M.gris Only Mapping</t>
  </si>
  <si>
    <t>M. gris + Symbiont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</si>
</sst>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0" fontId="0" fillId="0" borderId="0" xfId="0" applyNumberFormat="1"/>
    <xf numFmtId="0" fontId="0" fillId="0" borderId="4" xfId="0" applyBorder="1"/>
    <xf numFmtId="0" fontId="0" fillId="0" borderId="5" xfId="0" applyBorder="1"/>
    <xf numFmtId="10" fontId="0" fillId="0" borderId="4" xfId="0" applyNumberFormat="1" applyBorder="1"/>
    <xf numFmtId="10" fontId="0" fillId="0" borderId="5" xfId="0" applyNumberFormat="1" applyBorder="1"/>
    <xf numFmtId="10" fontId="0" fillId="0" borderId="6" xfId="0" applyNumberFormat="1" applyBorder="1"/>
    <xf numFmtId="10" fontId="0" fillId="0" borderId="7" xfId="0" applyNumberFormat="1" applyBorder="1"/>
    <xf numFmtId="10" fontId="0" fillId="0" borderId="8" xfId="0" applyNumberFormat="1" applyBorder="1"/>
    <xf numFmtId="0" fontId="0" fillId="2" borderId="9" xfId="0" applyFill="1" applyBorder="1"/>
    <xf numFmtId="0" fontId="0" fillId="2" borderId="10" xfId="0" applyFill="1" applyBorder="1"/>
    <xf numFmtId="10" fontId="0" fillId="2" borderId="10" xfId="0" applyNumberFormat="1" applyFill="1" applyBorder="1"/>
    <xf numFmtId="10" fontId="0" fillId="2" borderId="11" xfId="0" applyNumberForma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0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3179-425C-4814-936E-F59E93065D7A}">
  <dimension ref="A1:J38"/>
  <sheetViews>
    <sheetView tabSelected="1" workbookViewId="0">
      <selection activeCell="A35" sqref="A33:I35"/>
    </sheetView>
  </sheetViews>
  <sheetFormatPr defaultRowHeight="15" x14ac:dyDescent="0.25"/>
  <cols>
    <col min="1" max="1" width="46.140625" customWidth="1"/>
    <col min="2" max="2" width="18.85546875" customWidth="1"/>
    <col min="3" max="3" width="23" customWidth="1"/>
    <col min="4" max="4" width="19.28515625" customWidth="1"/>
    <col min="5" max="5" width="19.140625" customWidth="1"/>
    <col min="6" max="6" width="21.42578125" customWidth="1"/>
    <col min="7" max="7" width="21.28515625" customWidth="1"/>
    <col min="8" max="8" width="33.42578125" customWidth="1"/>
    <col min="9" max="9" width="18.42578125" customWidth="1"/>
    <col min="10" max="10" width="21.140625" customWidth="1"/>
  </cols>
  <sheetData>
    <row r="1" spans="1:10" x14ac:dyDescent="0.25">
      <c r="B1" s="13" t="s">
        <v>43</v>
      </c>
      <c r="C1" s="14"/>
      <c r="D1" s="14"/>
      <c r="E1" s="15"/>
      <c r="F1" s="13" t="s">
        <v>44</v>
      </c>
      <c r="G1" s="14"/>
      <c r="H1" s="14"/>
      <c r="I1" s="15"/>
      <c r="J1" s="9"/>
    </row>
    <row r="2" spans="1:10" x14ac:dyDescent="0.25">
      <c r="A2" t="s">
        <v>0</v>
      </c>
      <c r="B2" s="2" t="s">
        <v>34</v>
      </c>
      <c r="C2" t="s">
        <v>35</v>
      </c>
      <c r="D2" t="s">
        <v>36</v>
      </c>
      <c r="E2" s="3" t="s">
        <v>37</v>
      </c>
      <c r="F2" s="2" t="s">
        <v>38</v>
      </c>
      <c r="G2" t="s">
        <v>39</v>
      </c>
      <c r="H2" t="s">
        <v>40</v>
      </c>
      <c r="I2" s="3" t="s">
        <v>41</v>
      </c>
      <c r="J2" s="10" t="s">
        <v>42</v>
      </c>
    </row>
    <row r="3" spans="1:10" x14ac:dyDescent="0.25">
      <c r="A3" t="s">
        <v>23</v>
      </c>
      <c r="B3" s="4">
        <v>0.94279999999999997</v>
      </c>
      <c r="C3" s="1">
        <v>1.9400000000000001E-2</v>
      </c>
      <c r="D3" s="1">
        <v>3.7900000000000003E-2</v>
      </c>
      <c r="E3" s="5">
        <v>7.2499999999999995E-2</v>
      </c>
      <c r="F3" s="4">
        <v>0.92290000000000005</v>
      </c>
      <c r="G3" s="1">
        <v>2.1899999999999999E-2</v>
      </c>
      <c r="H3" s="1">
        <v>5.5199999999999999E-2</v>
      </c>
      <c r="I3" s="5">
        <v>9.6199999999999994E-2</v>
      </c>
      <c r="J3" s="11">
        <f>I3-E3</f>
        <v>2.3699999999999999E-2</v>
      </c>
    </row>
    <row r="4" spans="1:10" x14ac:dyDescent="0.25">
      <c r="A4" t="s">
        <v>24</v>
      </c>
      <c r="B4" s="4">
        <v>0.9425</v>
      </c>
      <c r="C4" s="1">
        <v>1.95E-2</v>
      </c>
      <c r="D4" s="1">
        <v>3.7999999999999999E-2</v>
      </c>
      <c r="E4" s="5">
        <v>7.2999999999999995E-2</v>
      </c>
      <c r="F4" s="4">
        <v>0.92200000000000004</v>
      </c>
      <c r="G4" s="1">
        <v>2.1899999999999999E-2</v>
      </c>
      <c r="H4" s="1">
        <v>5.6099999999999997E-2</v>
      </c>
      <c r="I4" s="5">
        <v>9.7299999999999998E-2</v>
      </c>
      <c r="J4" s="11">
        <f>I4-E4</f>
        <v>2.4300000000000002E-2</v>
      </c>
    </row>
    <row r="5" spans="1:10" x14ac:dyDescent="0.25">
      <c r="A5" t="s">
        <v>22</v>
      </c>
      <c r="B5" s="4">
        <v>0.9425</v>
      </c>
      <c r="C5" s="1">
        <v>1.9E-2</v>
      </c>
      <c r="D5" s="1">
        <v>3.85E-2</v>
      </c>
      <c r="E5" s="5">
        <v>7.4499999999999997E-2</v>
      </c>
      <c r="F5" s="4">
        <v>0.92159999999999997</v>
      </c>
      <c r="G5" s="1">
        <v>2.12E-2</v>
      </c>
      <c r="H5" s="1">
        <v>5.7299999999999997E-2</v>
      </c>
      <c r="I5" s="5">
        <v>9.9500000000000005E-2</v>
      </c>
      <c r="J5" s="11">
        <f>I5-E5</f>
        <v>2.5000000000000008E-2</v>
      </c>
    </row>
    <row r="6" spans="1:10" x14ac:dyDescent="0.25">
      <c r="A6" t="s">
        <v>20</v>
      </c>
      <c r="B6" s="4">
        <v>0.96889999999999998</v>
      </c>
      <c r="C6" s="1">
        <v>7.1000000000000004E-3</v>
      </c>
      <c r="D6" s="1">
        <v>2.41E-2</v>
      </c>
      <c r="E6" s="5">
        <v>4.1399999999999999E-2</v>
      </c>
      <c r="F6" s="4">
        <v>0.91869999999999996</v>
      </c>
      <c r="G6" s="1">
        <v>1.4999999999999999E-2</v>
      </c>
      <c r="H6" s="1">
        <v>6.6199999999999995E-2</v>
      </c>
      <c r="I6" s="5">
        <v>0.1022</v>
      </c>
      <c r="J6" s="11">
        <f>I6-E6</f>
        <v>6.08E-2</v>
      </c>
    </row>
    <row r="7" spans="1:10" x14ac:dyDescent="0.25">
      <c r="A7" t="s">
        <v>14</v>
      </c>
      <c r="B7" s="4">
        <v>0.92330000000000001</v>
      </c>
      <c r="C7" s="1">
        <v>2.6100000000000002E-2</v>
      </c>
      <c r="D7" s="1">
        <v>5.0599999999999999E-2</v>
      </c>
      <c r="E7" s="5">
        <v>9.5500000000000002E-2</v>
      </c>
      <c r="F7" s="4">
        <v>0.9173</v>
      </c>
      <c r="G7" s="1">
        <v>2.5999999999999999E-2</v>
      </c>
      <c r="H7" s="1">
        <v>5.67E-2</v>
      </c>
      <c r="I7" s="5">
        <v>0.1024</v>
      </c>
      <c r="J7" s="11">
        <f>I7-E7</f>
        <v>6.9000000000000034E-3</v>
      </c>
    </row>
    <row r="8" spans="1:10" x14ac:dyDescent="0.25">
      <c r="A8" t="s">
        <v>15</v>
      </c>
      <c r="B8" s="4">
        <v>0.92330000000000001</v>
      </c>
      <c r="C8" s="1">
        <v>2.6200000000000001E-2</v>
      </c>
      <c r="D8" s="1">
        <v>5.0500000000000003E-2</v>
      </c>
      <c r="E8" s="5">
        <v>9.5299999999999996E-2</v>
      </c>
      <c r="F8" s="4">
        <v>0.91700000000000004</v>
      </c>
      <c r="G8" s="1">
        <v>2.5999999999999999E-2</v>
      </c>
      <c r="H8" s="1">
        <v>5.6899999999999999E-2</v>
      </c>
      <c r="I8" s="5">
        <v>0.10249999999999999</v>
      </c>
      <c r="J8" s="11">
        <f>I8-E8</f>
        <v>7.1999999999999981E-3</v>
      </c>
    </row>
    <row r="9" spans="1:10" x14ac:dyDescent="0.25">
      <c r="A9" t="s">
        <v>13</v>
      </c>
      <c r="B9" s="4">
        <v>0.92310000000000003</v>
      </c>
      <c r="C9" s="1">
        <v>2.58E-2</v>
      </c>
      <c r="D9" s="1">
        <v>5.11E-2</v>
      </c>
      <c r="E9" s="5">
        <v>9.7299999999999998E-2</v>
      </c>
      <c r="F9" s="4">
        <v>0.91649999999999998</v>
      </c>
      <c r="G9" s="1">
        <v>2.5600000000000001E-2</v>
      </c>
      <c r="H9" s="1">
        <v>5.79E-2</v>
      </c>
      <c r="I9" s="5">
        <v>0.1047</v>
      </c>
      <c r="J9" s="11">
        <f>I9-E9</f>
        <v>7.4000000000000038E-3</v>
      </c>
    </row>
    <row r="10" spans="1:10" x14ac:dyDescent="0.25">
      <c r="A10" t="s">
        <v>21</v>
      </c>
      <c r="B10" s="4">
        <v>0.96789999999999998</v>
      </c>
      <c r="C10" s="1">
        <v>7.4000000000000003E-3</v>
      </c>
      <c r="D10" s="1">
        <v>2.4799999999999999E-2</v>
      </c>
      <c r="E10" s="5">
        <v>4.3099999999999999E-2</v>
      </c>
      <c r="F10" s="4">
        <v>0.91579999999999995</v>
      </c>
      <c r="G10" s="1">
        <v>1.4999999999999999E-2</v>
      </c>
      <c r="H10" s="1">
        <v>6.9199999999999998E-2</v>
      </c>
      <c r="I10" s="5">
        <v>0.1053</v>
      </c>
      <c r="J10" s="11">
        <f>I10-E10</f>
        <v>6.2200000000000005E-2</v>
      </c>
    </row>
    <row r="11" spans="1:10" x14ac:dyDescent="0.25">
      <c r="A11" t="s">
        <v>19</v>
      </c>
      <c r="B11" s="4">
        <v>0.96630000000000005</v>
      </c>
      <c r="C11" s="1">
        <v>7.7000000000000002E-3</v>
      </c>
      <c r="D11" s="1">
        <v>2.5999999999999999E-2</v>
      </c>
      <c r="E11" s="5">
        <v>4.58E-2</v>
      </c>
      <c r="F11" s="4">
        <v>0.91349999999999998</v>
      </c>
      <c r="G11" s="1">
        <v>1.46E-2</v>
      </c>
      <c r="H11" s="1">
        <v>7.1900000000000006E-2</v>
      </c>
      <c r="I11" s="5">
        <v>0.1089</v>
      </c>
      <c r="J11" s="11">
        <f>I11-E11</f>
        <v>6.3099999999999989E-2</v>
      </c>
    </row>
    <row r="12" spans="1:10" x14ac:dyDescent="0.25">
      <c r="A12" t="s">
        <v>6</v>
      </c>
      <c r="B12" s="4">
        <v>0.91049999999999998</v>
      </c>
      <c r="C12" s="1">
        <v>3.2300000000000002E-2</v>
      </c>
      <c r="D12" s="1">
        <v>5.7200000000000001E-2</v>
      </c>
      <c r="E12" s="5">
        <v>0.10920000000000001</v>
      </c>
      <c r="F12" s="4">
        <v>0.90680000000000005</v>
      </c>
      <c r="G12" s="1">
        <v>3.2399999999999998E-2</v>
      </c>
      <c r="H12" s="1">
        <v>6.08E-2</v>
      </c>
      <c r="I12" s="5">
        <v>0.1139</v>
      </c>
      <c r="J12" s="11">
        <f>I12-E12</f>
        <v>4.6999999999999958E-3</v>
      </c>
    </row>
    <row r="13" spans="1:10" x14ac:dyDescent="0.25">
      <c r="A13" t="s">
        <v>5</v>
      </c>
      <c r="B13" s="4">
        <v>0.91</v>
      </c>
      <c r="C13" s="1">
        <v>3.2300000000000002E-2</v>
      </c>
      <c r="D13" s="1">
        <v>5.7799999999999997E-2</v>
      </c>
      <c r="E13" s="5">
        <v>0.11</v>
      </c>
      <c r="F13" s="4">
        <v>0.90639999999999998</v>
      </c>
      <c r="G13" s="1">
        <v>3.2300000000000002E-2</v>
      </c>
      <c r="H13" s="1">
        <v>6.1199999999999997E-2</v>
      </c>
      <c r="I13" s="5">
        <v>0.1145</v>
      </c>
      <c r="J13" s="11">
        <f>I13-E13</f>
        <v>4.500000000000004E-3</v>
      </c>
    </row>
    <row r="14" spans="1:10" x14ac:dyDescent="0.25">
      <c r="A14" t="s">
        <v>4</v>
      </c>
      <c r="B14" s="4">
        <v>0.9103</v>
      </c>
      <c r="C14" s="1">
        <v>3.1699999999999999E-2</v>
      </c>
      <c r="D14" s="1">
        <v>5.8000000000000003E-2</v>
      </c>
      <c r="E14" s="5">
        <v>0.111</v>
      </c>
      <c r="F14" s="4">
        <v>0.90659999999999996</v>
      </c>
      <c r="G14" s="1">
        <v>3.1800000000000002E-2</v>
      </c>
      <c r="H14" s="1">
        <v>6.1600000000000002E-2</v>
      </c>
      <c r="I14" s="5">
        <v>0.1158</v>
      </c>
      <c r="J14" s="11">
        <f>I14-E14</f>
        <v>4.7999999999999987E-3</v>
      </c>
    </row>
    <row r="15" spans="1:10" x14ac:dyDescent="0.25">
      <c r="A15" t="s">
        <v>11</v>
      </c>
      <c r="B15" s="4">
        <v>0.94110000000000005</v>
      </c>
      <c r="C15" s="1">
        <v>4.1000000000000003E-3</v>
      </c>
      <c r="D15" s="1">
        <v>5.4800000000000001E-2</v>
      </c>
      <c r="E15" s="5">
        <v>7.0499999999999993E-2</v>
      </c>
      <c r="F15" s="4">
        <v>0.88959999999999995</v>
      </c>
      <c r="G15" s="1">
        <v>1.0999999999999999E-2</v>
      </c>
      <c r="H15" s="1">
        <v>9.9400000000000002E-2</v>
      </c>
      <c r="I15" s="5">
        <v>0.1298</v>
      </c>
      <c r="J15" s="11">
        <f>I15-E15</f>
        <v>5.9300000000000005E-2</v>
      </c>
    </row>
    <row r="16" spans="1:10" x14ac:dyDescent="0.25">
      <c r="A16" t="s">
        <v>12</v>
      </c>
      <c r="B16" s="4">
        <v>0.94140000000000001</v>
      </c>
      <c r="C16" s="1">
        <v>4.4000000000000003E-3</v>
      </c>
      <c r="D16" s="1">
        <v>5.4199999999999998E-2</v>
      </c>
      <c r="E16" s="5">
        <v>7.0800000000000002E-2</v>
      </c>
      <c r="F16" s="4">
        <v>0.88819999999999999</v>
      </c>
      <c r="G16" s="1">
        <v>1.0999999999999999E-2</v>
      </c>
      <c r="H16" s="1">
        <v>0.1008</v>
      </c>
      <c r="I16" s="5">
        <v>0.13139999999999999</v>
      </c>
      <c r="J16" s="11">
        <f>I16-E16</f>
        <v>6.0599999999999987E-2</v>
      </c>
    </row>
    <row r="17" spans="1:10" x14ac:dyDescent="0.25">
      <c r="A17" t="s">
        <v>29</v>
      </c>
      <c r="B17" s="4">
        <v>0.95250000000000001</v>
      </c>
      <c r="C17" s="1">
        <v>9.2999999999999992E-3</v>
      </c>
      <c r="D17" s="1">
        <v>3.8300000000000001E-2</v>
      </c>
      <c r="E17" s="5">
        <v>5.91E-2</v>
      </c>
      <c r="F17" s="4">
        <v>0.88539999999999996</v>
      </c>
      <c r="G17" s="1">
        <v>2.2100000000000002E-2</v>
      </c>
      <c r="H17" s="1">
        <v>9.2499999999999999E-2</v>
      </c>
      <c r="I17" s="5">
        <v>0.1376</v>
      </c>
      <c r="J17" s="11">
        <f>I17-E17</f>
        <v>7.85E-2</v>
      </c>
    </row>
    <row r="18" spans="1:10" x14ac:dyDescent="0.25">
      <c r="A18" t="s">
        <v>10</v>
      </c>
      <c r="B18" s="4">
        <v>0.9365</v>
      </c>
      <c r="C18" s="1">
        <v>4.7000000000000002E-3</v>
      </c>
      <c r="D18" s="1">
        <v>5.8900000000000001E-2</v>
      </c>
      <c r="E18" s="5">
        <v>7.7100000000000002E-2</v>
      </c>
      <c r="F18" s="4">
        <v>0.88300000000000001</v>
      </c>
      <c r="G18" s="1">
        <v>1.0500000000000001E-2</v>
      </c>
      <c r="H18" s="1">
        <v>0.1066</v>
      </c>
      <c r="I18" s="5">
        <v>0.1384</v>
      </c>
      <c r="J18" s="11">
        <f>I18-E18</f>
        <v>6.1299999999999993E-2</v>
      </c>
    </row>
    <row r="19" spans="1:10" x14ac:dyDescent="0.25">
      <c r="A19" t="s">
        <v>30</v>
      </c>
      <c r="B19" s="4">
        <v>0.95120000000000005</v>
      </c>
      <c r="C19" s="1">
        <v>9.5999999999999992E-3</v>
      </c>
      <c r="D19" s="1">
        <v>3.9199999999999999E-2</v>
      </c>
      <c r="E19" s="5">
        <v>6.0900000000000003E-2</v>
      </c>
      <c r="F19" s="4">
        <v>0.88270000000000004</v>
      </c>
      <c r="G19" s="1">
        <v>2.2100000000000002E-2</v>
      </c>
      <c r="H19" s="1">
        <v>9.5200000000000007E-2</v>
      </c>
      <c r="I19" s="5">
        <v>0.14050000000000001</v>
      </c>
      <c r="J19" s="11">
        <f>I19-E19</f>
        <v>7.9600000000000004E-2</v>
      </c>
    </row>
    <row r="20" spans="1:10" x14ac:dyDescent="0.25">
      <c r="A20" t="s">
        <v>28</v>
      </c>
      <c r="B20" s="4">
        <v>0.94910000000000005</v>
      </c>
      <c r="C20" s="1">
        <v>9.7999999999999997E-3</v>
      </c>
      <c r="D20" s="1">
        <v>4.1099999999999998E-2</v>
      </c>
      <c r="E20" s="5">
        <v>6.4299999999999996E-2</v>
      </c>
      <c r="F20" s="4">
        <v>0.87990000000000002</v>
      </c>
      <c r="G20" s="1">
        <v>2.1299999999999999E-2</v>
      </c>
      <c r="H20" s="1">
        <v>9.8799999999999999E-2</v>
      </c>
      <c r="I20" s="5">
        <v>0.14499999999999999</v>
      </c>
      <c r="J20" s="11">
        <f>I20-E20</f>
        <v>8.0699999999999994E-2</v>
      </c>
    </row>
    <row r="21" spans="1:10" x14ac:dyDescent="0.25">
      <c r="A21" t="s">
        <v>32</v>
      </c>
      <c r="B21" s="4">
        <v>0.92200000000000004</v>
      </c>
      <c r="C21" s="1">
        <v>2.4799999999999999E-2</v>
      </c>
      <c r="D21" s="1">
        <v>5.3199999999999997E-2</v>
      </c>
      <c r="E21" s="5">
        <v>9.5699999999999993E-2</v>
      </c>
      <c r="F21" s="4">
        <v>0.86270000000000002</v>
      </c>
      <c r="G21" s="1">
        <v>3.5099999999999999E-2</v>
      </c>
      <c r="H21" s="1">
        <v>0.1022</v>
      </c>
      <c r="I21" s="5">
        <v>0.1668</v>
      </c>
      <c r="J21" s="11">
        <f>I21-E21</f>
        <v>7.110000000000001E-2</v>
      </c>
    </row>
    <row r="22" spans="1:10" x14ac:dyDescent="0.25">
      <c r="A22" t="s">
        <v>3</v>
      </c>
      <c r="B22" s="4">
        <v>0.89229999999999998</v>
      </c>
      <c r="C22" s="1">
        <v>7.1000000000000004E-3</v>
      </c>
      <c r="D22" s="1">
        <v>0.10059999999999999</v>
      </c>
      <c r="E22" s="5">
        <v>0.121</v>
      </c>
      <c r="F22" s="4">
        <v>0.84770000000000001</v>
      </c>
      <c r="G22" s="1">
        <v>1.1599999999999999E-2</v>
      </c>
      <c r="H22" s="1">
        <v>0.14069999999999999</v>
      </c>
      <c r="I22" s="5">
        <v>0.16830000000000001</v>
      </c>
      <c r="J22" s="11">
        <f>I22-E22</f>
        <v>4.7300000000000009E-2</v>
      </c>
    </row>
    <row r="23" spans="1:10" x14ac:dyDescent="0.25">
      <c r="A23" t="s">
        <v>2</v>
      </c>
      <c r="B23" s="4">
        <v>0.89090000000000003</v>
      </c>
      <c r="C23" s="1">
        <v>6.7999999999999996E-3</v>
      </c>
      <c r="D23" s="1">
        <v>0.1024</v>
      </c>
      <c r="E23" s="5">
        <v>0.12230000000000001</v>
      </c>
      <c r="F23" s="4">
        <v>0.84770000000000001</v>
      </c>
      <c r="G23" s="1">
        <v>1.1599999999999999E-2</v>
      </c>
      <c r="H23" s="1">
        <v>0.14069999999999999</v>
      </c>
      <c r="I23" s="5">
        <v>0.16839999999999999</v>
      </c>
      <c r="J23" s="11">
        <f>I23-E23</f>
        <v>4.6099999999999988E-2</v>
      </c>
    </row>
    <row r="24" spans="1:10" x14ac:dyDescent="0.25">
      <c r="A24" t="s">
        <v>33</v>
      </c>
      <c r="B24" s="4">
        <v>0.92090000000000005</v>
      </c>
      <c r="C24" s="16">
        <v>2.5100000000000001E-2</v>
      </c>
      <c r="D24" s="16">
        <v>5.3999999999999999E-2</v>
      </c>
      <c r="E24" s="5">
        <v>9.74E-2</v>
      </c>
      <c r="F24" s="4">
        <v>0.85970000000000002</v>
      </c>
      <c r="G24" s="16">
        <v>3.5000000000000003E-2</v>
      </c>
      <c r="H24" s="16">
        <v>0.1052</v>
      </c>
      <c r="I24" s="5">
        <v>0.17</v>
      </c>
      <c r="J24" s="11">
        <f>I24-E24</f>
        <v>7.2600000000000012E-2</v>
      </c>
    </row>
    <row r="25" spans="1:10" x14ac:dyDescent="0.25">
      <c r="A25" t="s">
        <v>31</v>
      </c>
      <c r="B25" s="4">
        <v>0.92049999999999998</v>
      </c>
      <c r="C25" s="1">
        <v>2.4500000000000001E-2</v>
      </c>
      <c r="D25" s="1">
        <v>5.5E-2</v>
      </c>
      <c r="E25" s="5">
        <v>9.9699999999999997E-2</v>
      </c>
      <c r="F25" s="4">
        <v>0.85850000000000004</v>
      </c>
      <c r="G25" s="1">
        <v>3.3500000000000002E-2</v>
      </c>
      <c r="H25" s="1">
        <v>0.108</v>
      </c>
      <c r="I25" s="5">
        <v>0.17380000000000001</v>
      </c>
      <c r="J25" s="11">
        <f>I25-E25</f>
        <v>7.4100000000000013E-2</v>
      </c>
    </row>
    <row r="26" spans="1:10" x14ac:dyDescent="0.25">
      <c r="A26" t="s">
        <v>1</v>
      </c>
      <c r="B26" s="4">
        <v>0.88219999999999998</v>
      </c>
      <c r="C26" s="1">
        <v>7.1999999999999998E-3</v>
      </c>
      <c r="D26" s="1">
        <v>0.1106</v>
      </c>
      <c r="E26" s="5">
        <v>0.13289999999999999</v>
      </c>
      <c r="F26" s="4">
        <v>0.83760000000000001</v>
      </c>
      <c r="G26" s="1">
        <v>1.0999999999999999E-2</v>
      </c>
      <c r="H26" s="1">
        <v>0.15140000000000001</v>
      </c>
      <c r="I26" s="5">
        <v>0.1802</v>
      </c>
      <c r="J26" s="11">
        <f>I26-E26</f>
        <v>4.7300000000000009E-2</v>
      </c>
    </row>
    <row r="27" spans="1:10" x14ac:dyDescent="0.25">
      <c r="A27" t="s">
        <v>17</v>
      </c>
      <c r="B27" s="4">
        <v>0.90369999999999995</v>
      </c>
      <c r="C27" s="1">
        <v>1.1299999999999999E-2</v>
      </c>
      <c r="D27" s="1">
        <v>8.5000000000000006E-2</v>
      </c>
      <c r="E27" s="5">
        <v>0.1133</v>
      </c>
      <c r="F27" s="4">
        <v>0.83299999999999996</v>
      </c>
      <c r="G27" s="1">
        <v>0.02</v>
      </c>
      <c r="H27" s="1">
        <v>0.14699999999999999</v>
      </c>
      <c r="I27" s="5">
        <v>0.18890000000000001</v>
      </c>
      <c r="J27" s="11">
        <f>I27-E27</f>
        <v>7.5600000000000014E-2</v>
      </c>
    </row>
    <row r="28" spans="1:10" x14ac:dyDescent="0.25">
      <c r="A28" t="s">
        <v>18</v>
      </c>
      <c r="B28" s="4">
        <v>0.90210000000000001</v>
      </c>
      <c r="C28" s="1">
        <v>1.18E-2</v>
      </c>
      <c r="D28" s="1">
        <v>8.6099999999999996E-2</v>
      </c>
      <c r="E28" s="5">
        <v>0.11550000000000001</v>
      </c>
      <c r="F28" s="4">
        <v>0.82979999999999998</v>
      </c>
      <c r="G28" s="1">
        <v>2.01E-2</v>
      </c>
      <c r="H28" s="1">
        <v>0.1502</v>
      </c>
      <c r="I28" s="5">
        <v>0.19239999999999999</v>
      </c>
      <c r="J28" s="11">
        <f>I28-E28</f>
        <v>7.6899999999999982E-2</v>
      </c>
    </row>
    <row r="29" spans="1:10" x14ac:dyDescent="0.25">
      <c r="A29" t="s">
        <v>16</v>
      </c>
      <c r="B29" s="4">
        <v>0.89729999999999999</v>
      </c>
      <c r="C29" s="1">
        <v>1.2200000000000001E-2</v>
      </c>
      <c r="D29" s="1">
        <v>9.06E-2</v>
      </c>
      <c r="E29" s="5">
        <v>0.1222</v>
      </c>
      <c r="F29" s="4">
        <v>0.8246</v>
      </c>
      <c r="G29" s="1">
        <v>1.9300000000000001E-2</v>
      </c>
      <c r="H29" s="1">
        <v>0.15609999999999999</v>
      </c>
      <c r="I29" s="5">
        <v>0.19969999999999999</v>
      </c>
      <c r="J29" s="11">
        <f>I29-E29</f>
        <v>7.7499999999999986E-2</v>
      </c>
    </row>
    <row r="30" spans="1:10" x14ac:dyDescent="0.25">
      <c r="A30" t="s">
        <v>26</v>
      </c>
      <c r="B30" s="4">
        <v>0.87490000000000001</v>
      </c>
      <c r="C30" s="1">
        <v>3.1699999999999999E-2</v>
      </c>
      <c r="D30" s="1">
        <v>9.35E-2</v>
      </c>
      <c r="E30" s="5">
        <v>0.14649999999999999</v>
      </c>
      <c r="F30" s="4">
        <v>0.81079999999999997</v>
      </c>
      <c r="G30" s="1">
        <v>3.9399999999999998E-2</v>
      </c>
      <c r="H30" s="1">
        <v>0.14990000000000001</v>
      </c>
      <c r="I30" s="5">
        <v>0.2132</v>
      </c>
      <c r="J30" s="11">
        <f>I30-E30</f>
        <v>6.6700000000000009E-2</v>
      </c>
    </row>
    <row r="31" spans="1:10" x14ac:dyDescent="0.25">
      <c r="A31" t="s">
        <v>27</v>
      </c>
      <c r="B31" s="4">
        <v>0.87390000000000001</v>
      </c>
      <c r="C31" s="1">
        <v>3.2000000000000001E-2</v>
      </c>
      <c r="D31" s="1">
        <v>9.4100000000000003E-2</v>
      </c>
      <c r="E31" s="5">
        <v>0.1482</v>
      </c>
      <c r="F31" s="4">
        <v>0.80779999999999996</v>
      </c>
      <c r="G31" s="1">
        <v>3.9199999999999999E-2</v>
      </c>
      <c r="H31" s="1">
        <v>0.153</v>
      </c>
      <c r="I31" s="5">
        <v>0.2165</v>
      </c>
      <c r="J31" s="11">
        <f>I31-E31</f>
        <v>6.83E-2</v>
      </c>
    </row>
    <row r="32" spans="1:10" x14ac:dyDescent="0.25">
      <c r="A32" t="s">
        <v>25</v>
      </c>
      <c r="B32" s="4">
        <v>0.87129999999999996</v>
      </c>
      <c r="C32" s="1">
        <v>3.2199999999999999E-2</v>
      </c>
      <c r="D32" s="1">
        <v>9.6500000000000002E-2</v>
      </c>
      <c r="E32" s="5">
        <v>0.15290000000000001</v>
      </c>
      <c r="F32" s="4">
        <v>0.80369999999999997</v>
      </c>
      <c r="G32" s="1">
        <v>3.85E-2</v>
      </c>
      <c r="H32" s="1">
        <v>0.1578</v>
      </c>
      <c r="I32" s="5">
        <v>0.22259999999999999</v>
      </c>
      <c r="J32" s="11">
        <f>I32-E32</f>
        <v>6.9699999999999984E-2</v>
      </c>
    </row>
    <row r="33" spans="1:10" x14ac:dyDescent="0.25">
      <c r="A33" t="s">
        <v>9</v>
      </c>
      <c r="B33" s="4">
        <v>0.61309999999999998</v>
      </c>
      <c r="C33" s="1">
        <v>7.0000000000000001E-3</v>
      </c>
      <c r="D33" s="1">
        <v>0.37990000000000002</v>
      </c>
      <c r="E33" s="5">
        <v>0.41110000000000002</v>
      </c>
      <c r="F33" s="4">
        <v>0.5514</v>
      </c>
      <c r="G33" s="1">
        <v>1.11E-2</v>
      </c>
      <c r="H33" s="1">
        <v>0.4375</v>
      </c>
      <c r="I33" s="5">
        <v>0.47749999999999998</v>
      </c>
      <c r="J33" s="11">
        <f>I33-E33</f>
        <v>6.6399999999999959E-2</v>
      </c>
    </row>
    <row r="34" spans="1:10" x14ac:dyDescent="0.25">
      <c r="A34" t="s">
        <v>8</v>
      </c>
      <c r="B34" s="4">
        <v>0.60170000000000001</v>
      </c>
      <c r="C34" s="1">
        <v>6.4000000000000003E-3</v>
      </c>
      <c r="D34" s="1">
        <v>0.39190000000000003</v>
      </c>
      <c r="E34" s="5">
        <v>0.4234</v>
      </c>
      <c r="F34" s="4">
        <v>0.54300000000000004</v>
      </c>
      <c r="G34" s="1">
        <v>1.0800000000000001E-2</v>
      </c>
      <c r="H34" s="1">
        <v>0.44619999999999999</v>
      </c>
      <c r="I34" s="5">
        <v>0.4874</v>
      </c>
      <c r="J34" s="11">
        <f>I34-E34</f>
        <v>6.4000000000000001E-2</v>
      </c>
    </row>
    <row r="35" spans="1:10" x14ac:dyDescent="0.25">
      <c r="A35" t="s">
        <v>7</v>
      </c>
      <c r="B35" s="6">
        <v>0.58720000000000006</v>
      </c>
      <c r="C35" s="7">
        <v>7.0000000000000001E-3</v>
      </c>
      <c r="D35" s="7">
        <v>0.40579999999999999</v>
      </c>
      <c r="E35" s="8">
        <v>0.43969999999999998</v>
      </c>
      <c r="F35" s="6">
        <v>0.52959999999999996</v>
      </c>
      <c r="G35" s="7">
        <v>1.03E-2</v>
      </c>
      <c r="H35" s="7">
        <v>0.4602</v>
      </c>
      <c r="I35" s="8">
        <v>0.502</v>
      </c>
      <c r="J35" s="12">
        <f>I35-E35</f>
        <v>6.2300000000000022E-2</v>
      </c>
    </row>
    <row r="38" spans="1:10" x14ac:dyDescent="0.25">
      <c r="J38" s="1"/>
    </row>
  </sheetData>
  <sortState xmlns:xlrd2="http://schemas.microsoft.com/office/spreadsheetml/2017/richdata2" ref="A3:J35">
    <sortCondition ref="I3:I35"/>
  </sortState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Parker</dc:creator>
  <cp:lastModifiedBy>Kate Parker</cp:lastModifiedBy>
  <dcterms:created xsi:type="dcterms:W3CDTF">2026-03-24T18:53:17Z</dcterms:created>
  <dcterms:modified xsi:type="dcterms:W3CDTF">2026-03-24T19:23:15Z</dcterms:modified>
</cp:coreProperties>
</file>