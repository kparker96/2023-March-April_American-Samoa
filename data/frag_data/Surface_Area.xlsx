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917054de0bc48a0/Documents/Barshis_Lab/Field_Work/2023-March-April_American-Samoa/data/frag_data/"/>
    </mc:Choice>
  </mc:AlternateContent>
  <xr:revisionPtr revIDLastSave="72" documentId="8_{D37593F5-BBAC-4797-8CAE-41473A31C395}" xr6:coauthVersionLast="47" xr6:coauthVersionMax="47" xr10:uidLastSave="{9F1ED5D1-080A-404F-8D6D-7DD90D9CA37E}"/>
  <bookViews>
    <workbookView xWindow="-110" yWindow="-110" windowWidth="19420" windowHeight="11500" xr2:uid="{9021C3D7-74DC-4965-ADF5-F50A19582A88}"/>
  </bookViews>
  <sheets>
    <sheet name="MasterSheet" sheetId="2" r:id="rId1"/>
    <sheet name="Calculation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" i="1" l="1"/>
  <c r="C27" i="1"/>
  <c r="D4" i="1"/>
  <c r="D3" i="1"/>
  <c r="D2" i="1"/>
  <c r="F2" i="1" s="1"/>
  <c r="C16" i="1" l="1"/>
  <c r="C23" i="1"/>
  <c r="C25" i="1"/>
  <c r="C22" i="1"/>
  <c r="F3" i="1"/>
  <c r="C21" i="1"/>
  <c r="C13" i="1"/>
  <c r="C24" i="1"/>
  <c r="C26" i="1"/>
  <c r="C14" i="1"/>
  <c r="C20" i="1"/>
  <c r="C9" i="1"/>
  <c r="C17" i="1"/>
  <c r="C12" i="1"/>
  <c r="C15" i="1"/>
  <c r="C10" i="1"/>
  <c r="C19" i="1"/>
  <c r="C11" i="1"/>
  <c r="C18" i="1"/>
  <c r="C8" i="1"/>
</calcChain>
</file>

<file path=xl/sharedStrings.xml><?xml version="1.0" encoding="utf-8"?>
<sst xmlns="http://schemas.openxmlformats.org/spreadsheetml/2006/main" count="51" uniqueCount="30">
  <si>
    <t>std</t>
  </si>
  <si>
    <t>Foil Standard</t>
  </si>
  <si>
    <t>Weight (g)</t>
  </si>
  <si>
    <t>Sample</t>
  </si>
  <si>
    <t>Foil Weight</t>
  </si>
  <si>
    <t>Deep_06</t>
  </si>
  <si>
    <t>Deep_01</t>
  </si>
  <si>
    <t>Deep_04</t>
  </si>
  <si>
    <t>Deep_03</t>
  </si>
  <si>
    <t>Deep_05</t>
  </si>
  <si>
    <t>Deep_02</t>
  </si>
  <si>
    <t>Deep_07</t>
  </si>
  <si>
    <t>Midd_02</t>
  </si>
  <si>
    <t>Midd_04</t>
  </si>
  <si>
    <t>Midd_05</t>
  </si>
  <si>
    <t>Midd_01</t>
  </si>
  <si>
    <t>Midd_03</t>
  </si>
  <si>
    <t>Midd_06</t>
  </si>
  <si>
    <t>Shall_01</t>
  </si>
  <si>
    <t>Shall_06</t>
  </si>
  <si>
    <t>Shall_03</t>
  </si>
  <si>
    <t>Shall_05</t>
  </si>
  <si>
    <t>Shall_02</t>
  </si>
  <si>
    <t>Shall_04</t>
  </si>
  <si>
    <t>g/cm2</t>
  </si>
  <si>
    <t>mean(g/cm2)</t>
  </si>
  <si>
    <t>cm2</t>
  </si>
  <si>
    <t xml:space="preserve">Average: </t>
  </si>
  <si>
    <t>Surface area (cm2)</t>
  </si>
  <si>
    <t>STD: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</si>
</sst>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72CA-5C65-40AB-91E7-BF50853B35EC}">
  <dimension ref="A1:B20"/>
  <sheetViews>
    <sheetView tabSelected="1" workbookViewId="0">
      <selection activeCell="D3" sqref="D3"/>
    </sheetView>
  </sheetViews>
  <sheetFormatPr defaultRowHeight="14.5" x14ac:dyDescent="0.35"/>
  <cols>
    <col min="1" max="1" width="14.81640625" customWidth="1"/>
    <col min="2" max="2" width="23.453125" customWidth="1"/>
    <col min="3" max="3" width="18.1796875" customWidth="1"/>
  </cols>
  <sheetData>
    <row r="1" spans="1:2" x14ac:dyDescent="0.35">
      <c r="A1" t="s">
        <v>3</v>
      </c>
      <c r="B1" t="s">
        <v>28</v>
      </c>
    </row>
    <row r="2" spans="1:2" x14ac:dyDescent="0.35">
      <c r="A2" t="s">
        <v>6</v>
      </c>
      <c r="B2">
        <v>24.784747847478474</v>
      </c>
    </row>
    <row r="3" spans="1:2" x14ac:dyDescent="0.35">
      <c r="A3" t="s">
        <v>10</v>
      </c>
      <c r="B3">
        <v>15.179669653839396</v>
      </c>
    </row>
    <row r="4" spans="1:2" x14ac:dyDescent="0.35">
      <c r="A4" t="s">
        <v>8</v>
      </c>
      <c r="B4">
        <v>15.610173958882445</v>
      </c>
    </row>
    <row r="5" spans="1:2" x14ac:dyDescent="0.35">
      <c r="A5" t="s">
        <v>7</v>
      </c>
      <c r="B5">
        <v>16.012124406958357</v>
      </c>
    </row>
    <row r="6" spans="1:2" x14ac:dyDescent="0.35">
      <c r="A6" t="s">
        <v>9</v>
      </c>
      <c r="B6">
        <v>16.007731505886486</v>
      </c>
    </row>
    <row r="7" spans="1:2" x14ac:dyDescent="0.35">
      <c r="A7" t="s">
        <v>5</v>
      </c>
      <c r="B7">
        <v>20.040414689861183</v>
      </c>
    </row>
    <row r="8" spans="1:2" x14ac:dyDescent="0.35">
      <c r="A8" t="s">
        <v>11</v>
      </c>
      <c r="B8">
        <v>24.791337199086275</v>
      </c>
    </row>
    <row r="9" spans="1:2" x14ac:dyDescent="0.35">
      <c r="A9" t="s">
        <v>15</v>
      </c>
      <c r="B9">
        <v>22.206114918292037</v>
      </c>
    </row>
    <row r="10" spans="1:2" x14ac:dyDescent="0.35">
      <c r="A10" t="s">
        <v>12</v>
      </c>
      <c r="B10">
        <v>25.654542259708311</v>
      </c>
    </row>
    <row r="11" spans="1:2" x14ac:dyDescent="0.35">
      <c r="A11" t="s">
        <v>16</v>
      </c>
      <c r="B11">
        <v>24.912141978562644</v>
      </c>
    </row>
    <row r="12" spans="1:2" x14ac:dyDescent="0.35">
      <c r="A12" t="s">
        <v>13</v>
      </c>
      <c r="B12">
        <v>20.826743981725532</v>
      </c>
    </row>
    <row r="13" spans="1:2" x14ac:dyDescent="0.35">
      <c r="A13" t="s">
        <v>14</v>
      </c>
      <c r="B13">
        <v>16.071428571428569</v>
      </c>
    </row>
    <row r="14" spans="1:2" x14ac:dyDescent="0.35">
      <c r="A14" t="s">
        <v>17</v>
      </c>
      <c r="B14">
        <v>22.476278334211916</v>
      </c>
    </row>
    <row r="15" spans="1:2" x14ac:dyDescent="0.35">
      <c r="A15" t="s">
        <v>18</v>
      </c>
      <c r="B15">
        <v>24.48603057459146</v>
      </c>
    </row>
    <row r="16" spans="1:2" x14ac:dyDescent="0.35">
      <c r="A16" t="s">
        <v>22</v>
      </c>
      <c r="B16">
        <v>14.889738183096117</v>
      </c>
    </row>
    <row r="17" spans="1:2" x14ac:dyDescent="0.35">
      <c r="A17" t="s">
        <v>20</v>
      </c>
      <c r="B17">
        <v>22.22807942365138</v>
      </c>
    </row>
    <row r="18" spans="1:2" x14ac:dyDescent="0.35">
      <c r="A18" t="s">
        <v>23</v>
      </c>
      <c r="B18">
        <v>25.294324371815147</v>
      </c>
    </row>
    <row r="19" spans="1:2" x14ac:dyDescent="0.35">
      <c r="A19" t="s">
        <v>21</v>
      </c>
      <c r="B19">
        <v>18.516078017923036</v>
      </c>
    </row>
    <row r="20" spans="1:2" x14ac:dyDescent="0.35">
      <c r="A20" t="s">
        <v>19</v>
      </c>
      <c r="B20">
        <v>32.322966086803724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55095-6167-4A6A-9415-7C3572732834}">
  <dimension ref="A1:F28"/>
  <sheetViews>
    <sheetView workbookViewId="0">
      <selection activeCell="B8" sqref="B8"/>
    </sheetView>
  </sheetViews>
  <sheetFormatPr defaultRowHeight="14.5" x14ac:dyDescent="0.35"/>
  <cols>
    <col min="1" max="1" width="14" customWidth="1"/>
    <col min="2" max="2" width="12.1796875" customWidth="1"/>
    <col min="3" max="3" width="19.26953125" customWidth="1"/>
    <col min="4" max="4" width="20.453125" customWidth="1"/>
    <col min="5" max="5" width="13.1796875" customWidth="1"/>
  </cols>
  <sheetData>
    <row r="1" spans="1:6" x14ac:dyDescent="0.35">
      <c r="A1" t="s">
        <v>1</v>
      </c>
      <c r="B1" t="s">
        <v>2</v>
      </c>
      <c r="C1" t="s">
        <v>26</v>
      </c>
      <c r="D1" t="s">
        <v>24</v>
      </c>
    </row>
    <row r="2" spans="1:6" x14ac:dyDescent="0.35">
      <c r="A2">
        <v>1</v>
      </c>
      <c r="B2">
        <v>0.45815</v>
      </c>
      <c r="C2">
        <v>100</v>
      </c>
      <c r="D2">
        <f>B2/100</f>
        <v>4.5814999999999996E-3</v>
      </c>
      <c r="E2" t="s">
        <v>25</v>
      </c>
      <c r="F2">
        <f>AVERAGE(D2:D4)</f>
        <v>4.5528000000000001E-3</v>
      </c>
    </row>
    <row r="3" spans="1:6" x14ac:dyDescent="0.35">
      <c r="A3">
        <v>2</v>
      </c>
      <c r="B3">
        <v>0.45656999999999998</v>
      </c>
      <c r="C3">
        <v>100</v>
      </c>
      <c r="D3">
        <f>B3/100</f>
        <v>4.5656999999999998E-3</v>
      </c>
      <c r="E3" t="s">
        <v>0</v>
      </c>
      <c r="F3">
        <f>_xlfn.STDEV.P(D2:D4)</f>
        <v>3.0114559048185644E-5</v>
      </c>
    </row>
    <row r="4" spans="1:6" x14ac:dyDescent="0.35">
      <c r="A4">
        <v>3</v>
      </c>
      <c r="B4">
        <v>0.45112000000000002</v>
      </c>
      <c r="C4">
        <v>100</v>
      </c>
      <c r="D4">
        <f>B4/100</f>
        <v>4.5111999999999999E-3</v>
      </c>
    </row>
    <row r="7" spans="1:6" x14ac:dyDescent="0.35">
      <c r="A7" t="s">
        <v>3</v>
      </c>
      <c r="B7" t="s">
        <v>4</v>
      </c>
      <c r="C7" t="s">
        <v>28</v>
      </c>
    </row>
    <row r="8" spans="1:6" x14ac:dyDescent="0.35">
      <c r="A8" t="s">
        <v>6</v>
      </c>
      <c r="B8">
        <v>0.11284</v>
      </c>
      <c r="C8">
        <f t="shared" ref="C8:C26" si="0">B8/$F$2</f>
        <v>24.784747847478474</v>
      </c>
    </row>
    <row r="9" spans="1:6" x14ac:dyDescent="0.35">
      <c r="A9" t="s">
        <v>10</v>
      </c>
      <c r="B9">
        <v>6.9110000000000005E-2</v>
      </c>
      <c r="C9">
        <f t="shared" si="0"/>
        <v>15.179669653839396</v>
      </c>
    </row>
    <row r="10" spans="1:6" x14ac:dyDescent="0.35">
      <c r="A10" t="s">
        <v>8</v>
      </c>
      <c r="B10">
        <v>7.1069999999999994E-2</v>
      </c>
      <c r="C10">
        <f t="shared" si="0"/>
        <v>15.610173958882445</v>
      </c>
    </row>
    <row r="11" spans="1:6" x14ac:dyDescent="0.35">
      <c r="A11" t="s">
        <v>7</v>
      </c>
      <c r="B11">
        <v>7.2900000000000006E-2</v>
      </c>
      <c r="C11">
        <f t="shared" si="0"/>
        <v>16.012124406958357</v>
      </c>
    </row>
    <row r="12" spans="1:6" x14ac:dyDescent="0.35">
      <c r="A12" t="s">
        <v>9</v>
      </c>
      <c r="B12">
        <v>7.288E-2</v>
      </c>
      <c r="C12">
        <f t="shared" si="0"/>
        <v>16.007731505886486</v>
      </c>
    </row>
    <row r="13" spans="1:6" x14ac:dyDescent="0.35">
      <c r="A13" t="s">
        <v>5</v>
      </c>
      <c r="B13">
        <v>9.1240000000000002E-2</v>
      </c>
      <c r="C13">
        <f t="shared" si="0"/>
        <v>20.040414689861183</v>
      </c>
    </row>
    <row r="14" spans="1:6" x14ac:dyDescent="0.35">
      <c r="A14" t="s">
        <v>11</v>
      </c>
      <c r="B14">
        <v>0.11287</v>
      </c>
      <c r="C14">
        <f t="shared" si="0"/>
        <v>24.791337199086275</v>
      </c>
    </row>
    <row r="15" spans="1:6" x14ac:dyDescent="0.35">
      <c r="A15" t="s">
        <v>15</v>
      </c>
      <c r="B15">
        <v>0.1011</v>
      </c>
      <c r="C15">
        <f t="shared" si="0"/>
        <v>22.206114918292037</v>
      </c>
    </row>
    <row r="16" spans="1:6" x14ac:dyDescent="0.35">
      <c r="A16" t="s">
        <v>12</v>
      </c>
      <c r="B16">
        <v>0.1168</v>
      </c>
      <c r="C16">
        <f t="shared" si="0"/>
        <v>25.654542259708311</v>
      </c>
    </row>
    <row r="17" spans="1:3" x14ac:dyDescent="0.35">
      <c r="A17" t="s">
        <v>16</v>
      </c>
      <c r="B17">
        <v>0.11342000000000001</v>
      </c>
      <c r="C17">
        <f t="shared" si="0"/>
        <v>24.912141978562644</v>
      </c>
    </row>
    <row r="18" spans="1:3" x14ac:dyDescent="0.35">
      <c r="A18" t="s">
        <v>13</v>
      </c>
      <c r="B18">
        <v>9.4820000000000002E-2</v>
      </c>
      <c r="C18">
        <f t="shared" si="0"/>
        <v>20.826743981725532</v>
      </c>
    </row>
    <row r="19" spans="1:3" x14ac:dyDescent="0.35">
      <c r="A19" t="s">
        <v>14</v>
      </c>
      <c r="B19">
        <v>7.3169999999999999E-2</v>
      </c>
      <c r="C19">
        <f t="shared" si="0"/>
        <v>16.071428571428569</v>
      </c>
    </row>
    <row r="20" spans="1:3" x14ac:dyDescent="0.35">
      <c r="A20" t="s">
        <v>17</v>
      </c>
      <c r="B20">
        <v>0.10233</v>
      </c>
      <c r="C20">
        <f t="shared" si="0"/>
        <v>22.476278334211916</v>
      </c>
    </row>
    <row r="21" spans="1:3" x14ac:dyDescent="0.35">
      <c r="A21" t="s">
        <v>18</v>
      </c>
      <c r="B21">
        <v>0.11148</v>
      </c>
      <c r="C21">
        <f t="shared" si="0"/>
        <v>24.48603057459146</v>
      </c>
    </row>
    <row r="22" spans="1:3" x14ac:dyDescent="0.35">
      <c r="A22" t="s">
        <v>22</v>
      </c>
      <c r="B22">
        <v>6.7790000000000003E-2</v>
      </c>
      <c r="C22">
        <f t="shared" si="0"/>
        <v>14.889738183096117</v>
      </c>
    </row>
    <row r="23" spans="1:3" x14ac:dyDescent="0.35">
      <c r="A23" t="s">
        <v>20</v>
      </c>
      <c r="B23">
        <v>0.1012</v>
      </c>
      <c r="C23">
        <f t="shared" si="0"/>
        <v>22.22807942365138</v>
      </c>
    </row>
    <row r="24" spans="1:3" x14ac:dyDescent="0.35">
      <c r="A24" t="s">
        <v>23</v>
      </c>
      <c r="B24">
        <v>0.11516</v>
      </c>
      <c r="C24">
        <f t="shared" si="0"/>
        <v>25.294324371815147</v>
      </c>
    </row>
    <row r="25" spans="1:3" x14ac:dyDescent="0.35">
      <c r="A25" t="s">
        <v>21</v>
      </c>
      <c r="B25">
        <v>8.43E-2</v>
      </c>
      <c r="C25">
        <f t="shared" si="0"/>
        <v>18.516078017923036</v>
      </c>
    </row>
    <row r="26" spans="1:3" x14ac:dyDescent="0.35">
      <c r="A26" t="s">
        <v>19</v>
      </c>
      <c r="B26">
        <v>0.14716000000000001</v>
      </c>
      <c r="C26">
        <f t="shared" si="0"/>
        <v>32.322966086803724</v>
      </c>
    </row>
    <row r="27" spans="1:3" x14ac:dyDescent="0.35">
      <c r="B27" s="1" t="s">
        <v>27</v>
      </c>
      <c r="C27">
        <f>AVERAGE(C8:C26)</f>
        <v>21.174245577042232</v>
      </c>
    </row>
    <row r="28" spans="1:3" x14ac:dyDescent="0.35">
      <c r="B28" s="1" t="s">
        <v>29</v>
      </c>
      <c r="C28">
        <f>_xlfn.STDEV.P(C8:C27)</f>
        <v>4.5305171292409749</v>
      </c>
    </row>
  </sheetData>
  <sortState xmlns:xlrd2="http://schemas.microsoft.com/office/spreadsheetml/2017/richdata2" ref="A8:C26">
    <sortCondition ref="A8:A2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MasterSheet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PARKER, KATIE</dc:creator>
  <cp:lastModifiedBy>Kate Parker</cp:lastModifiedBy>
  <dcterms:created xsi:type="dcterms:W3CDTF">2025-07-08T16:51:35Z</dcterms:created>
  <dcterms:modified xsi:type="dcterms:W3CDTF">2026-02-25T01:19:17Z</dcterms:modified>
</cp:coreProperties>
</file>