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ddominion-my.sharepoint.com/personal/dbarshis_odu_edu/Documents/FieldWork/2023_034567_AmSamoa/StressExperiments/2023-03-31_Mgris_Pspec_Fagatele_Deep/data/PAM/"/>
    </mc:Choice>
  </mc:AlternateContent>
  <xr:revisionPtr revIDLastSave="0" documentId="8_{FA77C1A0-4843-4F31-AF35-A4F5942758A0}" xr6:coauthVersionLast="47" xr6:coauthVersionMax="47" xr10:uidLastSave="{00000000-0000-0000-0000-000000000000}"/>
  <bookViews>
    <workbookView xWindow="480" yWindow="5380" windowWidth="23240" windowHeight="12440" xr2:uid="{7B42D204-CF12-7B45-9F75-8DAEC0AC6C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2" i="1"/>
</calcChain>
</file>

<file path=xl/sharedStrings.xml><?xml version="1.0" encoding="utf-8"?>
<sst xmlns="http://schemas.openxmlformats.org/spreadsheetml/2006/main" count="333" uniqueCount="29">
  <si>
    <t>Date</t>
  </si>
  <si>
    <t>Site</t>
  </si>
  <si>
    <t>Depth</t>
  </si>
  <si>
    <t>Genus</t>
  </si>
  <si>
    <t>Species</t>
  </si>
  <si>
    <t>Timepoint</t>
  </si>
  <si>
    <t>Treatment</t>
  </si>
  <si>
    <t>Temperature</t>
  </si>
  <si>
    <t>Geno</t>
  </si>
  <si>
    <t>Rep</t>
  </si>
  <si>
    <t>PAM1</t>
  </si>
  <si>
    <t>PAM2</t>
  </si>
  <si>
    <t>PAM3</t>
  </si>
  <si>
    <t>PAM</t>
  </si>
  <si>
    <t>TSTART</t>
  </si>
  <si>
    <t>TEND</t>
  </si>
  <si>
    <t>Fagatele</t>
  </si>
  <si>
    <t>Deep</t>
  </si>
  <si>
    <t>Pachyseris</t>
  </si>
  <si>
    <t>speciosa</t>
  </si>
  <si>
    <t>TP</t>
  </si>
  <si>
    <t>T1</t>
  </si>
  <si>
    <t>T2</t>
  </si>
  <si>
    <t>T3</t>
  </si>
  <si>
    <t>T4</t>
  </si>
  <si>
    <t>~20:13</t>
  </si>
  <si>
    <t> </t>
  </si>
  <si>
    <t>Montipora</t>
  </si>
  <si>
    <t>grisea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</si>
</sst>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0" borderId="3" xfId="0" applyFont="1" applyBorder="1"/>
    <xf numFmtId="0" fontId="2" fillId="0" borderId="0" xfId="0" applyFont="1"/>
    <xf numFmtId="0" fontId="2" fillId="0" borderId="2" xfId="0" applyFont="1" applyBorder="1"/>
    <xf numFmtId="14" fontId="2" fillId="0" borderId="0" xfId="0" applyNumberFormat="1" applyFont="1"/>
    <xf numFmtId="0" fontId="2" fillId="0" borderId="1" xfId="0" applyFont="1" applyBorder="1"/>
    <xf numFmtId="0" fontId="0" fillId="0" borderId="2" xfId="0" applyBorder="1"/>
    <xf numFmtId="20" fontId="2" fillId="0" borderId="0" xfId="0" applyNumberFormat="1" applyFont="1"/>
    <xf numFmtId="0" fontId="2" fillId="0" borderId="4" xfId="0" applyFont="1" applyBorder="1"/>
    <xf numFmtId="0" fontId="0" fillId="0" borderId="4" xfId="0" applyBorder="1"/>
    <xf numFmtId="20" fontId="2" fillId="0" borderId="4" xfId="0" applyNumberFormat="1" applyFont="1" applyBorder="1"/>
    <xf numFmtId="20" fontId="0" fillId="0" borderId="4" xfId="0" applyNumberFormat="1" applyBorder="1"/>
    <xf numFmtId="14" fontId="2" fillId="0" borderId="3" xfId="0" applyNumberFormat="1" applyFont="1" applyBorder="1"/>
    <xf numFmtId="0" fontId="0" fillId="0" borderId="3" xfId="0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E2DA-7C64-D047-9561-DF26CA3B78F3}">
  <dimension ref="A1:AA99"/>
  <sheetViews>
    <sheetView tabSelected="1" zoomScale="110" zoomScaleNormal="110" workbookViewId="0">
      <pane ySplit="1" topLeftCell="A34" activePane="bottomLeft" state="frozen"/>
      <selection pane="bottomLeft" activeCell="N2" sqref="A2:N53"/>
    </sheetView>
  </sheetViews>
  <sheetFormatPr defaultColWidth="11" defaultRowHeight="15.95"/>
  <cols>
    <col min="2" max="2" width="13.125" bestFit="1" customWidth="1"/>
    <col min="3" max="3" width="13.125" customWidth="1"/>
    <col min="11" max="11" width="11" style="11"/>
    <col min="14" max="14" width="11.875" style="11" bestFit="1" customWidth="1"/>
    <col min="15" max="15" width="13.625" style="11" bestFit="1" customWidth="1"/>
  </cols>
  <sheetData>
    <row r="1" spans="1:2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10" t="s">
        <v>10</v>
      </c>
      <c r="L1" s="4" t="s">
        <v>11</v>
      </c>
      <c r="M1" s="4" t="s">
        <v>12</v>
      </c>
      <c r="N1" s="10" t="s">
        <v>13</v>
      </c>
      <c r="O1" s="10" t="s">
        <v>14</v>
      </c>
      <c r="P1" s="4" t="s">
        <v>15</v>
      </c>
    </row>
    <row r="2" spans="1:27" s="1" customFormat="1" ht="15.75" customHeight="1">
      <c r="A2" s="6">
        <v>45016</v>
      </c>
      <c r="B2" t="s">
        <v>16</v>
      </c>
      <c r="C2" t="s">
        <v>17</v>
      </c>
      <c r="D2" s="7" t="s">
        <v>18</v>
      </c>
      <c r="E2" s="4" t="s">
        <v>19</v>
      </c>
      <c r="F2" s="7" t="s">
        <v>20</v>
      </c>
      <c r="G2" s="7" t="s">
        <v>21</v>
      </c>
      <c r="H2" s="7">
        <v>29</v>
      </c>
      <c r="I2">
        <v>1</v>
      </c>
      <c r="J2" s="4">
        <v>1</v>
      </c>
      <c r="K2" s="10">
        <v>0.63800000000000001</v>
      </c>
      <c r="L2" s="4">
        <v>0.73199999999999998</v>
      </c>
      <c r="M2" s="4">
        <v>0.66900000000000004</v>
      </c>
      <c r="N2" s="10">
        <f>AVERAGE(K2:M2)</f>
        <v>0.67966666666666675</v>
      </c>
      <c r="O2" s="12"/>
      <c r="P2" s="9"/>
      <c r="Q2"/>
      <c r="R2"/>
      <c r="S2"/>
      <c r="T2"/>
      <c r="U2"/>
      <c r="V2"/>
      <c r="W2"/>
      <c r="X2"/>
      <c r="Y2"/>
      <c r="Z2"/>
      <c r="AA2"/>
    </row>
    <row r="3" spans="1:27">
      <c r="A3" s="6">
        <v>45016</v>
      </c>
      <c r="B3" t="s">
        <v>16</v>
      </c>
      <c r="C3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>
        <v>29</v>
      </c>
      <c r="I3">
        <v>2</v>
      </c>
      <c r="J3" s="4">
        <v>1</v>
      </c>
      <c r="K3" s="10">
        <v>0.59199999999999997</v>
      </c>
      <c r="L3" s="4">
        <v>0.63700000000000001</v>
      </c>
      <c r="M3" s="4">
        <v>0.60599999999999998</v>
      </c>
      <c r="N3" s="10">
        <f t="shared" ref="N3:N53" si="0">AVERAGE(K3:M3)</f>
        <v>0.61166666666666669</v>
      </c>
      <c r="O3" s="10"/>
      <c r="P3" s="4"/>
    </row>
    <row r="4" spans="1:27">
      <c r="A4" s="6">
        <v>45016</v>
      </c>
      <c r="B4" t="s">
        <v>16</v>
      </c>
      <c r="C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>
        <v>29</v>
      </c>
      <c r="I4">
        <v>3</v>
      </c>
      <c r="J4" s="4">
        <v>1</v>
      </c>
      <c r="K4" s="10">
        <v>0.64700000000000002</v>
      </c>
      <c r="L4" s="4">
        <v>0.69199999999999995</v>
      </c>
      <c r="M4" s="4">
        <v>0.64100000000000001</v>
      </c>
      <c r="N4" s="10">
        <f t="shared" si="0"/>
        <v>0.66</v>
      </c>
      <c r="O4" s="10"/>
      <c r="P4" s="4"/>
    </row>
    <row r="5" spans="1:27">
      <c r="A5" s="6">
        <v>45016</v>
      </c>
      <c r="B5" t="s">
        <v>16</v>
      </c>
      <c r="C5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>
        <v>29</v>
      </c>
      <c r="I5">
        <v>4</v>
      </c>
      <c r="J5" s="4">
        <v>1</v>
      </c>
      <c r="K5" s="10">
        <v>0.72</v>
      </c>
      <c r="L5" s="4">
        <v>0.63900000000000001</v>
      </c>
      <c r="M5" s="4">
        <v>0.63700000000000001</v>
      </c>
      <c r="N5" s="10">
        <f t="shared" si="0"/>
        <v>0.66533333333333333</v>
      </c>
      <c r="O5" s="10"/>
      <c r="P5" s="4"/>
    </row>
    <row r="6" spans="1:27">
      <c r="A6" s="6">
        <v>45016</v>
      </c>
      <c r="B6" t="s">
        <v>16</v>
      </c>
      <c r="C6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>
        <v>29</v>
      </c>
      <c r="I6">
        <v>5</v>
      </c>
      <c r="J6" s="4">
        <v>1</v>
      </c>
      <c r="K6" s="10">
        <v>0.70599999999999996</v>
      </c>
      <c r="L6" s="4">
        <v>0.622</v>
      </c>
      <c r="M6" s="4">
        <v>0.67600000000000005</v>
      </c>
      <c r="N6" s="10">
        <f t="shared" si="0"/>
        <v>0.66800000000000004</v>
      </c>
      <c r="O6" s="10"/>
      <c r="P6" s="4"/>
    </row>
    <row r="7" spans="1:27" s="15" customFormat="1">
      <c r="A7" s="14">
        <v>45016</v>
      </c>
      <c r="B7" t="s">
        <v>16</v>
      </c>
      <c r="C7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>
        <v>29</v>
      </c>
      <c r="I7" s="15">
        <v>6</v>
      </c>
      <c r="J7" s="3">
        <v>1</v>
      </c>
      <c r="K7" s="16">
        <v>0.70499999999999996</v>
      </c>
      <c r="L7" s="3">
        <v>0.64700000000000002</v>
      </c>
      <c r="M7" s="3">
        <v>0.67800000000000005</v>
      </c>
      <c r="N7" s="16">
        <f t="shared" si="0"/>
        <v>0.67666666666666664</v>
      </c>
      <c r="O7" s="16"/>
      <c r="P7" s="3"/>
    </row>
    <row r="8" spans="1:27">
      <c r="A8" s="6">
        <v>45016</v>
      </c>
      <c r="B8" t="s">
        <v>16</v>
      </c>
      <c r="C8" t="s">
        <v>17</v>
      </c>
      <c r="D8" s="4" t="s">
        <v>18</v>
      </c>
      <c r="E8" s="4" t="s">
        <v>19</v>
      </c>
      <c r="F8" s="4" t="s">
        <v>20</v>
      </c>
      <c r="G8" s="4" t="s">
        <v>22</v>
      </c>
      <c r="H8" s="4">
        <v>34</v>
      </c>
      <c r="I8">
        <v>1</v>
      </c>
      <c r="J8" s="4">
        <v>1</v>
      </c>
      <c r="K8" s="10">
        <v>0.6</v>
      </c>
      <c r="L8" s="4">
        <v>0.60699999999999998</v>
      </c>
      <c r="M8" s="4">
        <v>0.6</v>
      </c>
      <c r="N8" s="10">
        <f t="shared" si="0"/>
        <v>0.60233333333333328</v>
      </c>
      <c r="O8" s="12">
        <v>0.85763888888888884</v>
      </c>
      <c r="P8" s="9">
        <v>0.8618055555555556</v>
      </c>
    </row>
    <row r="9" spans="1:27">
      <c r="A9" s="6">
        <v>45016</v>
      </c>
      <c r="B9" t="s">
        <v>16</v>
      </c>
      <c r="C9" t="s">
        <v>17</v>
      </c>
      <c r="D9" s="4" t="s">
        <v>18</v>
      </c>
      <c r="E9" s="4" t="s">
        <v>19</v>
      </c>
      <c r="F9" s="4" t="s">
        <v>20</v>
      </c>
      <c r="G9" s="4" t="s">
        <v>22</v>
      </c>
      <c r="H9" s="4">
        <v>34</v>
      </c>
      <c r="I9">
        <v>2</v>
      </c>
      <c r="J9" s="4">
        <v>1</v>
      </c>
      <c r="K9" s="10">
        <v>0.54100000000000004</v>
      </c>
      <c r="L9" s="4">
        <v>0.54300000000000004</v>
      </c>
      <c r="M9" s="4">
        <v>0.501</v>
      </c>
      <c r="N9" s="10">
        <f t="shared" si="0"/>
        <v>0.52833333333333332</v>
      </c>
      <c r="O9" s="10"/>
      <c r="P9" s="4"/>
    </row>
    <row r="10" spans="1:27">
      <c r="A10" s="6">
        <v>45016</v>
      </c>
      <c r="B10" t="s">
        <v>16</v>
      </c>
      <c r="C10" t="s">
        <v>17</v>
      </c>
      <c r="D10" s="4" t="s">
        <v>18</v>
      </c>
      <c r="E10" s="4" t="s">
        <v>19</v>
      </c>
      <c r="F10" s="4" t="s">
        <v>20</v>
      </c>
      <c r="G10" s="4" t="s">
        <v>22</v>
      </c>
      <c r="H10" s="4">
        <v>34</v>
      </c>
      <c r="I10">
        <v>3</v>
      </c>
      <c r="J10" s="4">
        <v>1</v>
      </c>
      <c r="K10" s="10">
        <v>0.57899999999999996</v>
      </c>
      <c r="L10" s="4">
        <v>0.627</v>
      </c>
      <c r="M10" s="4">
        <v>0.625</v>
      </c>
      <c r="N10" s="10">
        <f t="shared" si="0"/>
        <v>0.61033333333333328</v>
      </c>
    </row>
    <row r="11" spans="1:27">
      <c r="A11" s="6">
        <v>45016</v>
      </c>
      <c r="B11" t="s">
        <v>16</v>
      </c>
      <c r="C11" t="s">
        <v>17</v>
      </c>
      <c r="D11" s="4" t="s">
        <v>18</v>
      </c>
      <c r="E11" s="4" t="s">
        <v>19</v>
      </c>
      <c r="F11" s="4" t="s">
        <v>20</v>
      </c>
      <c r="G11" s="4" t="s">
        <v>22</v>
      </c>
      <c r="H11" s="4">
        <v>34</v>
      </c>
      <c r="I11">
        <v>4</v>
      </c>
      <c r="J11" s="4">
        <v>1</v>
      </c>
      <c r="K11" s="10">
        <v>0.60799999999999998</v>
      </c>
      <c r="L11" s="4">
        <v>0.50600000000000001</v>
      </c>
      <c r="M11" s="4">
        <v>0.53900000000000003</v>
      </c>
      <c r="N11" s="10">
        <f t="shared" si="0"/>
        <v>0.55100000000000005</v>
      </c>
      <c r="O11" s="10"/>
      <c r="P11" s="4"/>
    </row>
    <row r="12" spans="1:27">
      <c r="A12" s="6">
        <v>45016</v>
      </c>
      <c r="B12" t="s">
        <v>16</v>
      </c>
      <c r="C12" t="s">
        <v>17</v>
      </c>
      <c r="D12" s="4" t="s">
        <v>18</v>
      </c>
      <c r="E12" s="4" t="s">
        <v>19</v>
      </c>
      <c r="F12" s="4" t="s">
        <v>20</v>
      </c>
      <c r="G12" s="4" t="s">
        <v>22</v>
      </c>
      <c r="H12" s="4">
        <v>34</v>
      </c>
      <c r="I12">
        <v>5</v>
      </c>
      <c r="J12" s="4">
        <v>1</v>
      </c>
      <c r="K12" s="10">
        <v>0.60099999999999998</v>
      </c>
      <c r="L12" s="4">
        <v>0.64800000000000002</v>
      </c>
      <c r="M12" s="4">
        <v>0.60099999999999998</v>
      </c>
      <c r="N12" s="10">
        <f t="shared" si="0"/>
        <v>0.6166666666666667</v>
      </c>
      <c r="O12" s="10"/>
      <c r="P12" s="4"/>
    </row>
    <row r="13" spans="1:27" s="15" customFormat="1">
      <c r="A13" s="14">
        <v>45016</v>
      </c>
      <c r="B13" t="s">
        <v>16</v>
      </c>
      <c r="C13" t="s">
        <v>17</v>
      </c>
      <c r="D13" s="3" t="s">
        <v>18</v>
      </c>
      <c r="E13" s="3" t="s">
        <v>19</v>
      </c>
      <c r="F13" s="3" t="s">
        <v>20</v>
      </c>
      <c r="G13" s="3" t="s">
        <v>22</v>
      </c>
      <c r="H13" s="3">
        <v>34</v>
      </c>
      <c r="I13" s="15">
        <v>6</v>
      </c>
      <c r="J13" s="3">
        <v>1</v>
      </c>
      <c r="K13" s="16">
        <v>0.57199999999999995</v>
      </c>
      <c r="L13" s="3">
        <v>0.59299999999999997</v>
      </c>
      <c r="M13" s="3">
        <v>0.55600000000000005</v>
      </c>
      <c r="N13" s="16">
        <f t="shared" si="0"/>
        <v>0.57366666666666666</v>
      </c>
      <c r="O13" s="16"/>
      <c r="P13" s="3"/>
    </row>
    <row r="14" spans="1:27">
      <c r="A14" s="6">
        <v>45016</v>
      </c>
      <c r="B14" t="s">
        <v>16</v>
      </c>
      <c r="C14" t="s">
        <v>17</v>
      </c>
      <c r="D14" s="4" t="s">
        <v>18</v>
      </c>
      <c r="E14" s="4" t="s">
        <v>19</v>
      </c>
      <c r="F14" s="4" t="s">
        <v>20</v>
      </c>
      <c r="G14" s="4" t="s">
        <v>23</v>
      </c>
      <c r="H14" s="4">
        <v>36</v>
      </c>
      <c r="I14">
        <v>1</v>
      </c>
      <c r="J14" s="4">
        <v>1</v>
      </c>
      <c r="K14" s="10">
        <v>0.55000000000000004</v>
      </c>
      <c r="L14" s="4">
        <v>0.51600000000000001</v>
      </c>
      <c r="M14" s="4">
        <v>0.53300000000000003</v>
      </c>
      <c r="N14" s="10">
        <f t="shared" si="0"/>
        <v>0.53300000000000003</v>
      </c>
      <c r="O14" s="12">
        <v>0.85</v>
      </c>
      <c r="P14" s="9">
        <v>0.85625000000000007</v>
      </c>
    </row>
    <row r="15" spans="1:27">
      <c r="A15" s="6">
        <v>45016</v>
      </c>
      <c r="B15" t="s">
        <v>16</v>
      </c>
      <c r="C15" t="s">
        <v>17</v>
      </c>
      <c r="D15" s="4" t="s">
        <v>18</v>
      </c>
      <c r="E15" s="4" t="s">
        <v>19</v>
      </c>
      <c r="F15" s="4" t="s">
        <v>20</v>
      </c>
      <c r="G15" s="4" t="s">
        <v>23</v>
      </c>
      <c r="H15" s="4">
        <v>36</v>
      </c>
      <c r="I15">
        <v>2</v>
      </c>
      <c r="J15" s="4">
        <v>1</v>
      </c>
      <c r="K15" s="10">
        <v>0.42299999999999999</v>
      </c>
      <c r="L15" s="4">
        <v>0.45200000000000001</v>
      </c>
      <c r="M15" s="4">
        <v>0.41599999999999998</v>
      </c>
      <c r="N15" s="10">
        <f t="shared" si="0"/>
        <v>0.43033333333333329</v>
      </c>
      <c r="O15" s="10"/>
      <c r="P15" s="4"/>
    </row>
    <row r="16" spans="1:27">
      <c r="A16" s="6">
        <v>45016</v>
      </c>
      <c r="B16" t="s">
        <v>16</v>
      </c>
      <c r="C16" t="s">
        <v>17</v>
      </c>
      <c r="D16" s="4" t="s">
        <v>18</v>
      </c>
      <c r="E16" s="4" t="s">
        <v>19</v>
      </c>
      <c r="F16" s="4" t="s">
        <v>20</v>
      </c>
      <c r="G16" s="4" t="s">
        <v>23</v>
      </c>
      <c r="H16" s="4">
        <v>36</v>
      </c>
      <c r="I16">
        <v>3</v>
      </c>
      <c r="J16" s="4">
        <v>1</v>
      </c>
      <c r="K16" s="10">
        <v>0.55300000000000005</v>
      </c>
      <c r="L16" s="4">
        <v>0.56399999999999995</v>
      </c>
      <c r="M16" s="4">
        <v>0.55700000000000005</v>
      </c>
      <c r="N16" s="10">
        <f t="shared" si="0"/>
        <v>0.55799999999999994</v>
      </c>
      <c r="O16" s="10"/>
      <c r="P16" s="4"/>
    </row>
    <row r="17" spans="1:27">
      <c r="A17" s="6">
        <v>45016</v>
      </c>
      <c r="B17" t="s">
        <v>16</v>
      </c>
      <c r="C17" t="s">
        <v>17</v>
      </c>
      <c r="D17" s="4" t="s">
        <v>18</v>
      </c>
      <c r="E17" s="4" t="s">
        <v>19</v>
      </c>
      <c r="F17" s="4" t="s">
        <v>20</v>
      </c>
      <c r="G17" s="4" t="s">
        <v>23</v>
      </c>
      <c r="H17" s="4">
        <v>36</v>
      </c>
      <c r="I17">
        <v>4</v>
      </c>
      <c r="J17" s="4">
        <v>1</v>
      </c>
      <c r="K17" s="10">
        <v>0.438</v>
      </c>
      <c r="L17" s="4">
        <v>0.41599999999999998</v>
      </c>
      <c r="M17" s="4">
        <v>0.42899999999999999</v>
      </c>
      <c r="N17" s="10">
        <f t="shared" si="0"/>
        <v>0.42766666666666664</v>
      </c>
      <c r="O17" s="10"/>
      <c r="P17" s="4"/>
    </row>
    <row r="18" spans="1:27">
      <c r="A18" s="6">
        <v>45016</v>
      </c>
      <c r="B18" t="s">
        <v>16</v>
      </c>
      <c r="C18" t="s">
        <v>17</v>
      </c>
      <c r="D18" s="4" t="s">
        <v>18</v>
      </c>
      <c r="E18" s="4" t="s">
        <v>19</v>
      </c>
      <c r="F18" s="4" t="s">
        <v>20</v>
      </c>
      <c r="G18" s="4" t="s">
        <v>23</v>
      </c>
      <c r="H18" s="4">
        <v>36</v>
      </c>
      <c r="I18">
        <v>5</v>
      </c>
      <c r="J18" s="4">
        <v>1</v>
      </c>
      <c r="K18" s="10">
        <v>0.443</v>
      </c>
      <c r="L18" s="4">
        <v>0.50700000000000001</v>
      </c>
      <c r="M18" s="4">
        <v>0.42499999999999999</v>
      </c>
      <c r="N18" s="10">
        <f t="shared" si="0"/>
        <v>0.45833333333333331</v>
      </c>
      <c r="O18" s="10"/>
      <c r="P18" s="4"/>
    </row>
    <row r="19" spans="1:27" s="15" customFormat="1">
      <c r="A19" s="14">
        <v>45016</v>
      </c>
      <c r="B19" t="s">
        <v>16</v>
      </c>
      <c r="C19" t="s">
        <v>17</v>
      </c>
      <c r="D19" s="3" t="s">
        <v>18</v>
      </c>
      <c r="E19" s="3" t="s">
        <v>19</v>
      </c>
      <c r="F19" s="3" t="s">
        <v>20</v>
      </c>
      <c r="G19" s="3" t="s">
        <v>23</v>
      </c>
      <c r="H19" s="3">
        <v>36</v>
      </c>
      <c r="I19" s="15">
        <v>6</v>
      </c>
      <c r="J19" s="3">
        <v>1</v>
      </c>
      <c r="K19" s="16">
        <v>0.40799999999999997</v>
      </c>
      <c r="L19" s="3">
        <v>0.48</v>
      </c>
      <c r="M19" s="3">
        <v>0.47099999999999997</v>
      </c>
      <c r="N19" s="16">
        <f t="shared" si="0"/>
        <v>0.45300000000000001</v>
      </c>
      <c r="O19" s="16"/>
      <c r="P19" s="3"/>
    </row>
    <row r="20" spans="1:27">
      <c r="A20" s="6">
        <v>45016</v>
      </c>
      <c r="B20" t="s">
        <v>16</v>
      </c>
      <c r="C20" t="s">
        <v>17</v>
      </c>
      <c r="D20" s="4" t="s">
        <v>18</v>
      </c>
      <c r="E20" s="4" t="s">
        <v>19</v>
      </c>
      <c r="F20" s="4" t="s">
        <v>20</v>
      </c>
      <c r="G20" s="4" t="s">
        <v>24</v>
      </c>
      <c r="H20" s="4">
        <v>38</v>
      </c>
      <c r="I20">
        <v>1</v>
      </c>
      <c r="J20" s="4">
        <v>1</v>
      </c>
      <c r="K20" s="10">
        <v>0.247</v>
      </c>
      <c r="L20" s="4">
        <v>0.22700000000000001</v>
      </c>
      <c r="M20" s="4">
        <v>0.26700000000000002</v>
      </c>
      <c r="N20" s="10">
        <f t="shared" si="0"/>
        <v>0.247</v>
      </c>
      <c r="O20" s="10" t="s">
        <v>25</v>
      </c>
      <c r="P20" s="9">
        <v>0.84930555555555554</v>
      </c>
    </row>
    <row r="21" spans="1:27" s="8" customFormat="1">
      <c r="A21" s="6">
        <v>45016</v>
      </c>
      <c r="B21" t="s">
        <v>16</v>
      </c>
      <c r="C21" t="s">
        <v>17</v>
      </c>
      <c r="D21" s="4" t="s">
        <v>18</v>
      </c>
      <c r="E21" s="4" t="s">
        <v>19</v>
      </c>
      <c r="F21" s="4" t="s">
        <v>20</v>
      </c>
      <c r="G21" s="4" t="s">
        <v>24</v>
      </c>
      <c r="H21" s="4">
        <v>38</v>
      </c>
      <c r="I21">
        <v>2</v>
      </c>
      <c r="J21" s="4">
        <v>1</v>
      </c>
      <c r="K21" s="10">
        <v>0.27600000000000002</v>
      </c>
      <c r="L21" s="4">
        <v>0.255</v>
      </c>
      <c r="M21" s="4">
        <v>0.20799999999999999</v>
      </c>
      <c r="N21" s="10">
        <f t="shared" si="0"/>
        <v>0.24633333333333332</v>
      </c>
      <c r="O21" s="10" t="s">
        <v>26</v>
      </c>
      <c r="P21" s="4" t="s">
        <v>26</v>
      </c>
      <c r="Q21"/>
      <c r="R21"/>
      <c r="S21"/>
      <c r="T21"/>
      <c r="U21"/>
      <c r="V21"/>
      <c r="W21"/>
      <c r="X21"/>
      <c r="Y21"/>
      <c r="Z21"/>
      <c r="AA21"/>
    </row>
    <row r="22" spans="1:27" ht="15.95" customHeight="1">
      <c r="A22" s="6">
        <v>45016</v>
      </c>
      <c r="B22" t="s">
        <v>16</v>
      </c>
      <c r="C22" t="s">
        <v>17</v>
      </c>
      <c r="D22" s="4" t="s">
        <v>18</v>
      </c>
      <c r="E22" s="4" t="s">
        <v>19</v>
      </c>
      <c r="F22" s="4" t="s">
        <v>20</v>
      </c>
      <c r="G22" s="4" t="s">
        <v>24</v>
      </c>
      <c r="H22" s="4">
        <v>38</v>
      </c>
      <c r="I22">
        <v>3</v>
      </c>
      <c r="J22" s="4">
        <v>1</v>
      </c>
      <c r="K22" s="10">
        <v>0.18099999999999999</v>
      </c>
      <c r="L22" s="4">
        <v>0.19600000000000001</v>
      </c>
      <c r="M22" s="4">
        <v>0.20300000000000001</v>
      </c>
      <c r="N22" s="10">
        <f t="shared" si="0"/>
        <v>0.19333333333333336</v>
      </c>
      <c r="O22" s="10"/>
      <c r="P22" s="4"/>
    </row>
    <row r="23" spans="1:27">
      <c r="A23" s="6">
        <v>45016</v>
      </c>
      <c r="B23" t="s">
        <v>16</v>
      </c>
      <c r="C23" t="s">
        <v>17</v>
      </c>
      <c r="D23" s="4" t="s">
        <v>18</v>
      </c>
      <c r="E23" s="4" t="s">
        <v>19</v>
      </c>
      <c r="F23" s="4" t="s">
        <v>20</v>
      </c>
      <c r="G23" s="4" t="s">
        <v>24</v>
      </c>
      <c r="H23" s="4">
        <v>38</v>
      </c>
      <c r="I23">
        <v>4</v>
      </c>
      <c r="J23" s="4">
        <v>1</v>
      </c>
      <c r="K23" s="10">
        <v>0.128</v>
      </c>
      <c r="L23" s="4">
        <v>0.14899999999999999</v>
      </c>
      <c r="M23" s="4">
        <v>0.151</v>
      </c>
      <c r="N23" s="10">
        <f t="shared" si="0"/>
        <v>0.14266666666666669</v>
      </c>
      <c r="O23" s="10"/>
      <c r="P23" s="4"/>
    </row>
    <row r="24" spans="1:27">
      <c r="A24" s="6">
        <v>45016</v>
      </c>
      <c r="B24" t="s">
        <v>16</v>
      </c>
      <c r="C24" t="s">
        <v>17</v>
      </c>
      <c r="D24" s="4" t="s">
        <v>18</v>
      </c>
      <c r="E24" s="4" t="s">
        <v>19</v>
      </c>
      <c r="F24" s="4" t="s">
        <v>20</v>
      </c>
      <c r="G24" s="4" t="s">
        <v>24</v>
      </c>
      <c r="H24" s="4">
        <v>38</v>
      </c>
      <c r="I24">
        <v>5</v>
      </c>
      <c r="J24" s="4">
        <v>1</v>
      </c>
      <c r="K24" s="10">
        <v>0.29399999999999998</v>
      </c>
      <c r="L24" s="4">
        <v>0.23200000000000001</v>
      </c>
      <c r="M24" s="4">
        <v>0.27100000000000002</v>
      </c>
      <c r="N24" s="10">
        <f t="shared" si="0"/>
        <v>0.26566666666666666</v>
      </c>
      <c r="O24" s="10"/>
      <c r="P24" s="4"/>
    </row>
    <row r="25" spans="1:27" s="15" customFormat="1">
      <c r="A25" s="14">
        <v>45016</v>
      </c>
      <c r="B25" t="s">
        <v>16</v>
      </c>
      <c r="C25" t="s">
        <v>17</v>
      </c>
      <c r="D25" s="3" t="s">
        <v>18</v>
      </c>
      <c r="E25" s="3" t="s">
        <v>19</v>
      </c>
      <c r="F25" s="3" t="s">
        <v>20</v>
      </c>
      <c r="G25" s="3" t="s">
        <v>24</v>
      </c>
      <c r="H25" s="3">
        <v>38</v>
      </c>
      <c r="I25" s="15">
        <v>6</v>
      </c>
      <c r="J25" s="3">
        <v>1</v>
      </c>
      <c r="K25" s="16">
        <v>0.22800000000000001</v>
      </c>
      <c r="L25" s="3">
        <v>0.28399999999999997</v>
      </c>
      <c r="M25" s="3">
        <v>0.28899999999999998</v>
      </c>
      <c r="N25" s="16">
        <f t="shared" si="0"/>
        <v>0.26699999999999996</v>
      </c>
      <c r="O25" s="16"/>
      <c r="P25" s="3"/>
    </row>
    <row r="26" spans="1:27">
      <c r="A26" s="6">
        <v>45016</v>
      </c>
      <c r="B26" t="s">
        <v>16</v>
      </c>
      <c r="C26" t="s">
        <v>17</v>
      </c>
      <c r="D26" s="4" t="s">
        <v>27</v>
      </c>
      <c r="E26" s="4" t="s">
        <v>28</v>
      </c>
      <c r="F26" s="4" t="s">
        <v>20</v>
      </c>
      <c r="G26" s="4" t="s">
        <v>21</v>
      </c>
      <c r="H26" s="4">
        <v>29</v>
      </c>
      <c r="I26">
        <v>1</v>
      </c>
      <c r="J26" s="4">
        <v>1</v>
      </c>
      <c r="K26" s="10">
        <v>0.58699999999999997</v>
      </c>
      <c r="L26" s="4">
        <v>0.59199999999999997</v>
      </c>
      <c r="M26" s="4">
        <v>0.65</v>
      </c>
      <c r="N26" s="10">
        <f t="shared" si="0"/>
        <v>0.60966666666666658</v>
      </c>
      <c r="O26" s="12">
        <v>0.86249999999999993</v>
      </c>
      <c r="P26" s="9">
        <v>0.86944444444444446</v>
      </c>
    </row>
    <row r="27" spans="1:27">
      <c r="A27" s="6">
        <v>45016</v>
      </c>
      <c r="B27" t="s">
        <v>16</v>
      </c>
      <c r="C27" t="s">
        <v>17</v>
      </c>
      <c r="D27" s="4" t="s">
        <v>27</v>
      </c>
      <c r="E27" s="4" t="s">
        <v>28</v>
      </c>
      <c r="F27" s="4" t="s">
        <v>20</v>
      </c>
      <c r="G27" s="4" t="s">
        <v>21</v>
      </c>
      <c r="H27" s="4">
        <v>29</v>
      </c>
      <c r="I27">
        <v>2</v>
      </c>
      <c r="J27" s="4">
        <v>1</v>
      </c>
      <c r="K27" s="10">
        <v>0.63500000000000001</v>
      </c>
      <c r="L27" s="4">
        <v>0.626</v>
      </c>
      <c r="M27" s="4">
        <v>0.622</v>
      </c>
      <c r="N27" s="10">
        <f t="shared" si="0"/>
        <v>0.62766666666666671</v>
      </c>
      <c r="O27" s="10"/>
      <c r="P27" s="4"/>
    </row>
    <row r="28" spans="1:27">
      <c r="A28" s="6">
        <v>45016</v>
      </c>
      <c r="B28" t="s">
        <v>16</v>
      </c>
      <c r="C28" t="s">
        <v>17</v>
      </c>
      <c r="D28" s="4" t="s">
        <v>27</v>
      </c>
      <c r="E28" s="4" t="s">
        <v>28</v>
      </c>
      <c r="F28" s="4" t="s">
        <v>20</v>
      </c>
      <c r="G28" s="4" t="s">
        <v>21</v>
      </c>
      <c r="H28" s="4">
        <v>29</v>
      </c>
      <c r="I28">
        <v>3</v>
      </c>
      <c r="J28" s="4">
        <v>1</v>
      </c>
      <c r="K28" s="10">
        <v>0.71799999999999997</v>
      </c>
      <c r="L28" s="4">
        <v>0.65700000000000003</v>
      </c>
      <c r="M28" s="4">
        <v>0.72</v>
      </c>
      <c r="N28" s="10">
        <f t="shared" si="0"/>
        <v>0.69833333333333325</v>
      </c>
      <c r="O28" s="10"/>
      <c r="P28" s="4"/>
    </row>
    <row r="29" spans="1:27">
      <c r="A29" s="6">
        <v>45016</v>
      </c>
      <c r="B29" t="s">
        <v>16</v>
      </c>
      <c r="C29" t="s">
        <v>17</v>
      </c>
      <c r="D29" s="4" t="s">
        <v>27</v>
      </c>
      <c r="E29" s="4" t="s">
        <v>28</v>
      </c>
      <c r="F29" s="4" t="s">
        <v>20</v>
      </c>
      <c r="G29" s="4" t="s">
        <v>21</v>
      </c>
      <c r="H29" s="4">
        <v>29</v>
      </c>
      <c r="I29">
        <v>4</v>
      </c>
      <c r="J29" s="4">
        <v>1</v>
      </c>
      <c r="K29" s="10">
        <v>0.63600000000000001</v>
      </c>
      <c r="L29" s="4">
        <v>0.66200000000000003</v>
      </c>
      <c r="M29" s="4">
        <v>0.58299999999999996</v>
      </c>
      <c r="N29" s="10">
        <f t="shared" si="0"/>
        <v>0.627</v>
      </c>
      <c r="O29" s="10"/>
      <c r="P29" s="4"/>
    </row>
    <row r="30" spans="1:27">
      <c r="A30" s="6">
        <v>45016</v>
      </c>
      <c r="B30" t="s">
        <v>16</v>
      </c>
      <c r="C30" t="s">
        <v>17</v>
      </c>
      <c r="D30" s="4" t="s">
        <v>27</v>
      </c>
      <c r="E30" s="4" t="s">
        <v>28</v>
      </c>
      <c r="F30" s="4" t="s">
        <v>20</v>
      </c>
      <c r="G30" s="4" t="s">
        <v>21</v>
      </c>
      <c r="H30" s="4">
        <v>29</v>
      </c>
      <c r="I30">
        <v>5</v>
      </c>
      <c r="J30" s="4">
        <v>1</v>
      </c>
      <c r="K30" s="10">
        <v>0.63100000000000001</v>
      </c>
      <c r="L30" s="4">
        <v>0.61499999999999999</v>
      </c>
      <c r="M30" s="4">
        <v>0.621</v>
      </c>
      <c r="N30" s="10">
        <f t="shared" si="0"/>
        <v>0.62233333333333329</v>
      </c>
      <c r="O30" s="10"/>
      <c r="P30" s="4"/>
    </row>
    <row r="31" spans="1:27">
      <c r="A31" s="6">
        <v>45016</v>
      </c>
      <c r="B31" t="s">
        <v>16</v>
      </c>
      <c r="C31" t="s">
        <v>17</v>
      </c>
      <c r="D31" s="4" t="s">
        <v>27</v>
      </c>
      <c r="E31" s="4" t="s">
        <v>28</v>
      </c>
      <c r="F31" s="4" t="s">
        <v>20</v>
      </c>
      <c r="G31" s="4" t="s">
        <v>21</v>
      </c>
      <c r="H31" s="4">
        <v>29</v>
      </c>
      <c r="I31">
        <v>6</v>
      </c>
      <c r="J31" s="4">
        <v>1</v>
      </c>
      <c r="K31" s="10">
        <v>0.57999999999999996</v>
      </c>
      <c r="L31" s="4">
        <v>0.63400000000000001</v>
      </c>
      <c r="M31" s="4">
        <v>0.59599999999999997</v>
      </c>
      <c r="N31" s="10">
        <f t="shared" si="0"/>
        <v>0.60333333333333339</v>
      </c>
      <c r="O31" s="10"/>
      <c r="P31" s="4"/>
    </row>
    <row r="32" spans="1:27" s="15" customFormat="1">
      <c r="A32" s="14">
        <v>45016</v>
      </c>
      <c r="B32" t="s">
        <v>16</v>
      </c>
      <c r="C32" t="s">
        <v>17</v>
      </c>
      <c r="D32" s="3" t="s">
        <v>27</v>
      </c>
      <c r="E32" s="3" t="s">
        <v>28</v>
      </c>
      <c r="F32" s="3" t="s">
        <v>20</v>
      </c>
      <c r="G32" s="3" t="s">
        <v>21</v>
      </c>
      <c r="H32" s="3">
        <v>29</v>
      </c>
      <c r="I32" s="15">
        <v>7</v>
      </c>
      <c r="J32" s="3">
        <v>1</v>
      </c>
      <c r="K32" s="16">
        <v>0.60699999999999998</v>
      </c>
      <c r="L32" s="3">
        <v>0.59199999999999997</v>
      </c>
      <c r="M32" s="3">
        <v>0.54700000000000004</v>
      </c>
      <c r="N32" s="16">
        <f t="shared" si="0"/>
        <v>0.58199999999999996</v>
      </c>
      <c r="O32" s="16"/>
      <c r="P32" s="3"/>
    </row>
    <row r="33" spans="1:27">
      <c r="A33" s="6">
        <v>45016</v>
      </c>
      <c r="B33" t="s">
        <v>16</v>
      </c>
      <c r="C33" t="s">
        <v>17</v>
      </c>
      <c r="D33" s="4" t="s">
        <v>27</v>
      </c>
      <c r="E33" s="4" t="s">
        <v>28</v>
      </c>
      <c r="F33" s="4" t="s">
        <v>20</v>
      </c>
      <c r="G33" s="4" t="s">
        <v>22</v>
      </c>
      <c r="H33" s="4">
        <v>34</v>
      </c>
      <c r="I33">
        <v>1</v>
      </c>
      <c r="J33" s="4">
        <v>1</v>
      </c>
      <c r="K33" s="10">
        <v>0.58399999999999996</v>
      </c>
      <c r="L33" s="4">
        <v>0.57699999999999996</v>
      </c>
      <c r="M33" s="4">
        <v>0.6</v>
      </c>
      <c r="N33" s="10">
        <f t="shared" si="0"/>
        <v>0.58700000000000008</v>
      </c>
      <c r="O33" s="10"/>
      <c r="P33" s="4"/>
    </row>
    <row r="34" spans="1:27">
      <c r="A34" s="6">
        <v>45016</v>
      </c>
      <c r="B34" t="s">
        <v>16</v>
      </c>
      <c r="C34" t="s">
        <v>17</v>
      </c>
      <c r="D34" s="4" t="s">
        <v>27</v>
      </c>
      <c r="E34" s="4" t="s">
        <v>28</v>
      </c>
      <c r="F34" s="4" t="s">
        <v>20</v>
      </c>
      <c r="G34" s="4" t="s">
        <v>22</v>
      </c>
      <c r="H34" s="4">
        <v>34</v>
      </c>
      <c r="I34">
        <v>2</v>
      </c>
      <c r="J34" s="4">
        <v>1</v>
      </c>
      <c r="K34" s="10">
        <v>0.59599999999999997</v>
      </c>
      <c r="L34" s="4">
        <v>0.54200000000000004</v>
      </c>
      <c r="M34" s="4">
        <v>0.54300000000000004</v>
      </c>
      <c r="N34" s="10">
        <f t="shared" si="0"/>
        <v>0.56033333333333335</v>
      </c>
      <c r="O34" s="10"/>
      <c r="P34" s="4"/>
    </row>
    <row r="35" spans="1:27">
      <c r="A35" s="6">
        <v>45016</v>
      </c>
      <c r="B35" t="s">
        <v>16</v>
      </c>
      <c r="C35" t="s">
        <v>17</v>
      </c>
      <c r="D35" s="4" t="s">
        <v>27</v>
      </c>
      <c r="E35" s="4" t="s">
        <v>28</v>
      </c>
      <c r="F35" s="4" t="s">
        <v>20</v>
      </c>
      <c r="G35" s="4" t="s">
        <v>22</v>
      </c>
      <c r="H35" s="4">
        <v>34</v>
      </c>
      <c r="I35">
        <v>3</v>
      </c>
      <c r="J35" s="4">
        <v>1</v>
      </c>
      <c r="K35" s="10">
        <v>0.54800000000000004</v>
      </c>
      <c r="L35" s="4">
        <v>0.54400000000000004</v>
      </c>
      <c r="M35" s="4">
        <v>0.52100000000000002</v>
      </c>
      <c r="N35" s="10">
        <f t="shared" si="0"/>
        <v>0.53766666666666663</v>
      </c>
      <c r="O35" s="10"/>
      <c r="P35" s="4"/>
    </row>
    <row r="36" spans="1:27">
      <c r="A36" s="6">
        <v>45016</v>
      </c>
      <c r="B36" t="s">
        <v>16</v>
      </c>
      <c r="C36" t="s">
        <v>17</v>
      </c>
      <c r="D36" s="4" t="s">
        <v>27</v>
      </c>
      <c r="E36" s="4" t="s">
        <v>28</v>
      </c>
      <c r="F36" s="4" t="s">
        <v>20</v>
      </c>
      <c r="G36" s="4" t="s">
        <v>22</v>
      </c>
      <c r="H36" s="4">
        <v>34</v>
      </c>
      <c r="I36">
        <v>4</v>
      </c>
      <c r="J36" s="4">
        <v>1</v>
      </c>
      <c r="K36" s="10">
        <v>0.66900000000000004</v>
      </c>
      <c r="L36" s="4">
        <v>0.63600000000000001</v>
      </c>
      <c r="M36" s="4">
        <v>0.58099999999999996</v>
      </c>
      <c r="N36" s="10">
        <f t="shared" si="0"/>
        <v>0.62866666666666671</v>
      </c>
      <c r="O36" s="10"/>
      <c r="P36" s="4"/>
    </row>
    <row r="37" spans="1:27">
      <c r="A37" s="6">
        <v>45016</v>
      </c>
      <c r="B37" t="s">
        <v>16</v>
      </c>
      <c r="C37" t="s">
        <v>17</v>
      </c>
      <c r="D37" s="4" t="s">
        <v>27</v>
      </c>
      <c r="E37" s="4" t="s">
        <v>28</v>
      </c>
      <c r="F37" s="4" t="s">
        <v>20</v>
      </c>
      <c r="G37" s="4" t="s">
        <v>22</v>
      </c>
      <c r="H37" s="4">
        <v>34</v>
      </c>
      <c r="I37">
        <v>5</v>
      </c>
      <c r="J37" s="4">
        <v>1</v>
      </c>
      <c r="K37" s="10">
        <v>0.56100000000000005</v>
      </c>
      <c r="L37" s="4">
        <v>0.57299999999999995</v>
      </c>
      <c r="M37" s="4">
        <v>0.63700000000000001</v>
      </c>
      <c r="N37" s="10">
        <f t="shared" si="0"/>
        <v>0.59033333333333327</v>
      </c>
      <c r="O37" s="10"/>
      <c r="P37" s="4"/>
    </row>
    <row r="38" spans="1:27">
      <c r="A38" s="6">
        <v>45016</v>
      </c>
      <c r="B38" t="s">
        <v>16</v>
      </c>
      <c r="C38" t="s">
        <v>17</v>
      </c>
      <c r="D38" s="4" t="s">
        <v>27</v>
      </c>
      <c r="E38" s="4" t="s">
        <v>28</v>
      </c>
      <c r="F38" s="4" t="s">
        <v>20</v>
      </c>
      <c r="G38" s="4" t="s">
        <v>22</v>
      </c>
      <c r="H38" s="4">
        <v>34</v>
      </c>
      <c r="I38">
        <v>6</v>
      </c>
      <c r="J38" s="4">
        <v>1</v>
      </c>
      <c r="K38" s="10">
        <v>0.64600000000000002</v>
      </c>
      <c r="L38" s="4">
        <v>0.63300000000000001</v>
      </c>
      <c r="M38" s="4">
        <v>0.69199999999999995</v>
      </c>
      <c r="N38" s="10">
        <f t="shared" si="0"/>
        <v>0.65699999999999992</v>
      </c>
      <c r="O38" s="10"/>
      <c r="P38" s="4"/>
    </row>
    <row r="39" spans="1:27" s="15" customFormat="1">
      <c r="A39" s="14">
        <v>45016</v>
      </c>
      <c r="B39" t="s">
        <v>16</v>
      </c>
      <c r="C39" t="s">
        <v>17</v>
      </c>
      <c r="D39" s="3" t="s">
        <v>27</v>
      </c>
      <c r="E39" s="3" t="s">
        <v>28</v>
      </c>
      <c r="F39" s="3" t="s">
        <v>20</v>
      </c>
      <c r="G39" s="3" t="s">
        <v>22</v>
      </c>
      <c r="H39" s="3">
        <v>34</v>
      </c>
      <c r="I39" s="15">
        <v>7</v>
      </c>
      <c r="J39" s="3">
        <v>1</v>
      </c>
      <c r="K39" s="16">
        <v>0.52900000000000003</v>
      </c>
      <c r="L39" s="3">
        <v>0.50800000000000001</v>
      </c>
      <c r="M39" s="3">
        <v>0.502</v>
      </c>
      <c r="N39" s="16">
        <f t="shared" si="0"/>
        <v>0.51300000000000001</v>
      </c>
      <c r="O39" s="16"/>
      <c r="P39" s="3"/>
    </row>
    <row r="40" spans="1:27">
      <c r="A40" s="6">
        <v>45016</v>
      </c>
      <c r="B40" t="s">
        <v>16</v>
      </c>
      <c r="C40" t="s">
        <v>17</v>
      </c>
      <c r="D40" s="4" t="s">
        <v>27</v>
      </c>
      <c r="E40" s="4" t="s">
        <v>28</v>
      </c>
      <c r="F40" s="4" t="s">
        <v>20</v>
      </c>
      <c r="G40" s="4" t="s">
        <v>23</v>
      </c>
      <c r="H40" s="4">
        <v>36</v>
      </c>
      <c r="I40">
        <v>1</v>
      </c>
      <c r="J40" s="4">
        <v>1</v>
      </c>
      <c r="K40" s="10">
        <v>0.434</v>
      </c>
      <c r="L40" s="4">
        <v>0.46500000000000002</v>
      </c>
      <c r="M40" s="4">
        <v>0.47699999999999998</v>
      </c>
      <c r="N40" s="10">
        <f t="shared" si="0"/>
        <v>0.45866666666666661</v>
      </c>
      <c r="O40" s="10"/>
      <c r="P40" s="4"/>
    </row>
    <row r="41" spans="1:27">
      <c r="A41" s="6">
        <v>45016</v>
      </c>
      <c r="B41" t="s">
        <v>16</v>
      </c>
      <c r="C41" t="s">
        <v>17</v>
      </c>
      <c r="D41" s="4" t="s">
        <v>27</v>
      </c>
      <c r="E41" s="4" t="s">
        <v>28</v>
      </c>
      <c r="F41" s="4" t="s">
        <v>20</v>
      </c>
      <c r="G41" s="4" t="s">
        <v>23</v>
      </c>
      <c r="H41" s="4">
        <v>36</v>
      </c>
      <c r="I41">
        <v>2</v>
      </c>
      <c r="J41" s="4">
        <v>1</v>
      </c>
      <c r="K41" s="10">
        <v>0.433</v>
      </c>
      <c r="L41" s="4">
        <v>0.38300000000000001</v>
      </c>
      <c r="M41" s="4">
        <v>0.47899999999999998</v>
      </c>
      <c r="N41" s="10">
        <f t="shared" si="0"/>
        <v>0.43166666666666664</v>
      </c>
      <c r="O41" s="10"/>
      <c r="P41" s="4"/>
    </row>
    <row r="42" spans="1:27">
      <c r="A42" s="6">
        <v>45016</v>
      </c>
      <c r="B42" t="s">
        <v>16</v>
      </c>
      <c r="C42" t="s">
        <v>17</v>
      </c>
      <c r="D42" s="4" t="s">
        <v>27</v>
      </c>
      <c r="E42" s="4" t="s">
        <v>28</v>
      </c>
      <c r="F42" s="4" t="s">
        <v>20</v>
      </c>
      <c r="G42" s="4" t="s">
        <v>23</v>
      </c>
      <c r="H42" s="4">
        <v>36</v>
      </c>
      <c r="I42">
        <v>3</v>
      </c>
      <c r="J42" s="4">
        <v>1</v>
      </c>
      <c r="K42" s="10">
        <v>0.53100000000000003</v>
      </c>
      <c r="L42" s="4">
        <v>0.53700000000000003</v>
      </c>
      <c r="M42" s="4">
        <v>0.53600000000000003</v>
      </c>
      <c r="N42" s="10">
        <f t="shared" si="0"/>
        <v>0.53466666666666673</v>
      </c>
      <c r="O42" s="10"/>
      <c r="P42" s="4"/>
    </row>
    <row r="43" spans="1:27" s="8" customFormat="1">
      <c r="A43" s="6">
        <v>45016</v>
      </c>
      <c r="B43" t="s">
        <v>16</v>
      </c>
      <c r="C43" t="s">
        <v>17</v>
      </c>
      <c r="D43" s="4" t="s">
        <v>27</v>
      </c>
      <c r="E43" s="4" t="s">
        <v>28</v>
      </c>
      <c r="F43" s="4" t="s">
        <v>20</v>
      </c>
      <c r="G43" s="4" t="s">
        <v>23</v>
      </c>
      <c r="H43" s="4">
        <v>36</v>
      </c>
      <c r="I43">
        <v>4</v>
      </c>
      <c r="J43" s="4">
        <v>1</v>
      </c>
      <c r="K43" s="10">
        <v>0.52700000000000002</v>
      </c>
      <c r="L43" s="4">
        <v>0.45200000000000001</v>
      </c>
      <c r="M43" s="4">
        <v>0.437</v>
      </c>
      <c r="N43" s="10">
        <f t="shared" si="0"/>
        <v>0.47200000000000003</v>
      </c>
      <c r="O43" s="10" t="s">
        <v>26</v>
      </c>
      <c r="P43" s="4" t="s">
        <v>26</v>
      </c>
      <c r="Q43"/>
      <c r="R43"/>
      <c r="S43"/>
      <c r="T43"/>
      <c r="U43"/>
      <c r="V43"/>
      <c r="W43"/>
      <c r="X43"/>
      <c r="Y43"/>
      <c r="Z43"/>
      <c r="AA43"/>
    </row>
    <row r="44" spans="1:27">
      <c r="A44" s="6">
        <v>45016</v>
      </c>
      <c r="B44" t="s">
        <v>16</v>
      </c>
      <c r="C44" t="s">
        <v>17</v>
      </c>
      <c r="D44" s="4" t="s">
        <v>27</v>
      </c>
      <c r="E44" s="4" t="s">
        <v>28</v>
      </c>
      <c r="F44" s="4" t="s">
        <v>20</v>
      </c>
      <c r="G44" s="4" t="s">
        <v>23</v>
      </c>
      <c r="H44" s="4">
        <v>36</v>
      </c>
      <c r="I44">
        <v>5</v>
      </c>
      <c r="J44" s="4">
        <v>1</v>
      </c>
      <c r="K44" s="10">
        <v>0.52200000000000002</v>
      </c>
      <c r="L44" s="4">
        <v>0.48599999999999999</v>
      </c>
      <c r="M44" s="4">
        <v>0.51700000000000002</v>
      </c>
      <c r="N44" s="10">
        <f t="shared" si="0"/>
        <v>0.5083333333333333</v>
      </c>
      <c r="O44" s="12"/>
      <c r="P44" s="9"/>
    </row>
    <row r="45" spans="1:27">
      <c r="A45" s="6">
        <v>45016</v>
      </c>
      <c r="B45" t="s">
        <v>16</v>
      </c>
      <c r="C45" t="s">
        <v>17</v>
      </c>
      <c r="D45" s="4" t="s">
        <v>27</v>
      </c>
      <c r="E45" s="4" t="s">
        <v>28</v>
      </c>
      <c r="F45" s="4" t="s">
        <v>20</v>
      </c>
      <c r="G45" s="4" t="s">
        <v>23</v>
      </c>
      <c r="H45" s="4">
        <v>36</v>
      </c>
      <c r="I45">
        <v>6</v>
      </c>
      <c r="J45" s="4">
        <v>1</v>
      </c>
      <c r="K45" s="10">
        <v>0.59199999999999997</v>
      </c>
      <c r="L45" s="4">
        <v>0.57899999999999996</v>
      </c>
      <c r="M45" s="4">
        <v>0.59099999999999997</v>
      </c>
      <c r="N45" s="10">
        <f t="shared" si="0"/>
        <v>0.58733333333333326</v>
      </c>
      <c r="O45" s="12"/>
      <c r="P45" s="9"/>
    </row>
    <row r="46" spans="1:27" s="15" customFormat="1">
      <c r="A46" s="14">
        <v>45016</v>
      </c>
      <c r="B46" t="s">
        <v>16</v>
      </c>
      <c r="C46" t="s">
        <v>17</v>
      </c>
      <c r="D46" s="3" t="s">
        <v>27</v>
      </c>
      <c r="E46" s="3" t="s">
        <v>28</v>
      </c>
      <c r="F46" s="3" t="s">
        <v>20</v>
      </c>
      <c r="G46" s="3" t="s">
        <v>23</v>
      </c>
      <c r="H46" s="3">
        <v>36</v>
      </c>
      <c r="I46" s="15">
        <v>7</v>
      </c>
      <c r="J46" s="3">
        <v>1</v>
      </c>
      <c r="K46" s="16">
        <v>0.54</v>
      </c>
      <c r="L46" s="3">
        <v>0.59699999999999998</v>
      </c>
      <c r="M46" s="3">
        <v>0.45300000000000001</v>
      </c>
      <c r="N46" s="16">
        <f t="shared" si="0"/>
        <v>0.53</v>
      </c>
      <c r="O46" s="16"/>
      <c r="P46" s="3"/>
    </row>
    <row r="47" spans="1:27">
      <c r="A47" s="6">
        <v>45016</v>
      </c>
      <c r="B47" t="s">
        <v>16</v>
      </c>
      <c r="C47" t="s">
        <v>17</v>
      </c>
      <c r="D47" s="4" t="s">
        <v>27</v>
      </c>
      <c r="E47" s="4" t="s">
        <v>28</v>
      </c>
      <c r="F47" s="4" t="s">
        <v>20</v>
      </c>
      <c r="G47" s="4" t="s">
        <v>24</v>
      </c>
      <c r="H47" s="4">
        <v>38</v>
      </c>
      <c r="I47">
        <v>1</v>
      </c>
      <c r="J47" s="4">
        <v>1</v>
      </c>
      <c r="K47" s="10">
        <v>0.218</v>
      </c>
      <c r="L47" s="4">
        <v>0.28100000000000003</v>
      </c>
      <c r="M47" s="4">
        <v>0.215</v>
      </c>
      <c r="N47" s="10">
        <f t="shared" si="0"/>
        <v>0.23799999999999999</v>
      </c>
      <c r="O47" s="10"/>
      <c r="P47" s="4"/>
    </row>
    <row r="48" spans="1:27">
      <c r="A48" s="6">
        <v>45016</v>
      </c>
      <c r="B48" t="s">
        <v>16</v>
      </c>
      <c r="C48" t="s">
        <v>17</v>
      </c>
      <c r="D48" s="4" t="s">
        <v>27</v>
      </c>
      <c r="E48" s="4" t="s">
        <v>28</v>
      </c>
      <c r="F48" s="4" t="s">
        <v>20</v>
      </c>
      <c r="G48" s="4" t="s">
        <v>24</v>
      </c>
      <c r="H48" s="4">
        <v>38</v>
      </c>
      <c r="I48">
        <v>2</v>
      </c>
      <c r="J48" s="4">
        <v>1</v>
      </c>
      <c r="K48" s="10">
        <v>0.105</v>
      </c>
      <c r="L48" s="4">
        <v>0.128</v>
      </c>
      <c r="M48" s="4">
        <v>8.7999999999999995E-2</v>
      </c>
      <c r="N48" s="10">
        <f t="shared" si="0"/>
        <v>0.10699999999999998</v>
      </c>
      <c r="O48" s="10"/>
      <c r="P48" s="4"/>
    </row>
    <row r="49" spans="1:16">
      <c r="A49" s="6">
        <v>45016</v>
      </c>
      <c r="B49" t="s">
        <v>16</v>
      </c>
      <c r="C49" t="s">
        <v>17</v>
      </c>
      <c r="D49" s="4" t="s">
        <v>27</v>
      </c>
      <c r="E49" s="4" t="s">
        <v>28</v>
      </c>
      <c r="F49" s="4" t="s">
        <v>20</v>
      </c>
      <c r="G49" s="4" t="s">
        <v>24</v>
      </c>
      <c r="H49" s="4">
        <v>38</v>
      </c>
      <c r="I49">
        <v>3</v>
      </c>
      <c r="J49" s="4">
        <v>1</v>
      </c>
      <c r="K49" s="10">
        <v>6.5000000000000002E-2</v>
      </c>
      <c r="L49" s="4">
        <v>6.9000000000000006E-2</v>
      </c>
      <c r="M49" s="4">
        <v>8.3000000000000004E-2</v>
      </c>
      <c r="N49" s="10">
        <f t="shared" si="0"/>
        <v>7.2333333333333347E-2</v>
      </c>
      <c r="O49" s="10"/>
      <c r="P49" s="4"/>
    </row>
    <row r="50" spans="1:16">
      <c r="A50" s="6">
        <v>45016</v>
      </c>
      <c r="B50" t="s">
        <v>16</v>
      </c>
      <c r="C50" t="s">
        <v>17</v>
      </c>
      <c r="D50" s="4" t="s">
        <v>27</v>
      </c>
      <c r="E50" s="4" t="s">
        <v>28</v>
      </c>
      <c r="F50" s="4" t="s">
        <v>20</v>
      </c>
      <c r="G50" s="4" t="s">
        <v>24</v>
      </c>
      <c r="H50" s="4">
        <v>38</v>
      </c>
      <c r="I50">
        <v>4</v>
      </c>
      <c r="J50" s="4">
        <v>1</v>
      </c>
      <c r="K50" s="10">
        <v>0.28299999999999997</v>
      </c>
      <c r="L50" s="4">
        <v>0.34100000000000003</v>
      </c>
      <c r="M50" s="4">
        <v>0.29099999999999998</v>
      </c>
      <c r="N50" s="10">
        <f t="shared" si="0"/>
        <v>0.30499999999999999</v>
      </c>
      <c r="O50" s="10"/>
      <c r="P50" s="4"/>
    </row>
    <row r="51" spans="1:16">
      <c r="A51" s="6">
        <v>45016</v>
      </c>
      <c r="B51" t="s">
        <v>16</v>
      </c>
      <c r="C51" t="s">
        <v>17</v>
      </c>
      <c r="D51" s="4" t="s">
        <v>27</v>
      </c>
      <c r="E51" s="4" t="s">
        <v>28</v>
      </c>
      <c r="F51" s="4" t="s">
        <v>20</v>
      </c>
      <c r="G51" s="4" t="s">
        <v>24</v>
      </c>
      <c r="H51" s="4">
        <v>38</v>
      </c>
      <c r="I51">
        <v>5</v>
      </c>
      <c r="J51" s="4">
        <v>1</v>
      </c>
      <c r="K51" s="10">
        <v>0.27200000000000002</v>
      </c>
      <c r="L51" s="4">
        <v>0.28199999999999997</v>
      </c>
      <c r="M51" s="4">
        <v>0.29299999999999998</v>
      </c>
      <c r="N51" s="10">
        <f t="shared" si="0"/>
        <v>0.28233333333333333</v>
      </c>
      <c r="O51" s="10"/>
      <c r="P51" s="4"/>
    </row>
    <row r="52" spans="1:16">
      <c r="A52" s="6">
        <v>45016</v>
      </c>
      <c r="B52" t="s">
        <v>16</v>
      </c>
      <c r="C52" t="s">
        <v>17</v>
      </c>
      <c r="D52" s="4" t="s">
        <v>27</v>
      </c>
      <c r="E52" s="4" t="s">
        <v>28</v>
      </c>
      <c r="F52" s="4" t="s">
        <v>20</v>
      </c>
      <c r="G52" s="4" t="s">
        <v>24</v>
      </c>
      <c r="H52" s="4">
        <v>38</v>
      </c>
      <c r="I52">
        <v>6</v>
      </c>
      <c r="J52" s="4">
        <v>1</v>
      </c>
      <c r="K52" s="10">
        <v>0.11799999999999999</v>
      </c>
      <c r="L52" s="4">
        <v>0.14199999999999999</v>
      </c>
      <c r="M52" s="4">
        <v>0.105</v>
      </c>
      <c r="N52" s="10">
        <f t="shared" si="0"/>
        <v>0.12166666666666666</v>
      </c>
      <c r="O52" s="10"/>
      <c r="P52" s="4"/>
    </row>
    <row r="53" spans="1:16" s="15" customFormat="1">
      <c r="A53" s="14">
        <v>45016</v>
      </c>
      <c r="B53" t="s">
        <v>16</v>
      </c>
      <c r="C53" t="s">
        <v>17</v>
      </c>
      <c r="D53" s="3" t="s">
        <v>27</v>
      </c>
      <c r="E53" s="3" t="s">
        <v>28</v>
      </c>
      <c r="F53" s="3" t="s">
        <v>20</v>
      </c>
      <c r="G53" s="3" t="s">
        <v>24</v>
      </c>
      <c r="H53" s="3">
        <v>38</v>
      </c>
      <c r="I53" s="15">
        <v>7</v>
      </c>
      <c r="J53" s="3">
        <v>1</v>
      </c>
      <c r="K53" s="16">
        <v>0.29699999999999999</v>
      </c>
      <c r="L53" s="3">
        <v>0.35</v>
      </c>
      <c r="M53" s="3">
        <v>0.317</v>
      </c>
      <c r="N53" s="16">
        <f t="shared" si="0"/>
        <v>0.3213333333333333</v>
      </c>
      <c r="O53" s="16"/>
      <c r="P53" s="3"/>
    </row>
    <row r="60" spans="1:16">
      <c r="A60" s="2"/>
    </row>
    <row r="61" spans="1:16">
      <c r="A61" s="2"/>
    </row>
    <row r="62" spans="1:16">
      <c r="A62" s="2"/>
    </row>
    <row r="63" spans="1:16">
      <c r="A63" s="2"/>
    </row>
    <row r="64" spans="1:16">
      <c r="A64" s="2"/>
    </row>
    <row r="65" spans="1:15">
      <c r="A65" s="2"/>
    </row>
    <row r="66" spans="1:15">
      <c r="A66" s="2"/>
      <c r="O66" s="13"/>
    </row>
    <row r="67" spans="1:15">
      <c r="A67" s="2"/>
    </row>
    <row r="68" spans="1:15">
      <c r="A68" s="2"/>
    </row>
    <row r="69" spans="1:15">
      <c r="A69" s="2"/>
    </row>
    <row r="70" spans="1:15">
      <c r="A70" s="2"/>
    </row>
    <row r="71" spans="1:15">
      <c r="A71" s="2"/>
    </row>
    <row r="72" spans="1:15">
      <c r="A72" s="2"/>
    </row>
    <row r="73" spans="1:15">
      <c r="A73" s="2"/>
    </row>
    <row r="74" spans="1:15">
      <c r="A74" s="2"/>
    </row>
    <row r="75" spans="1:15">
      <c r="A75" s="2"/>
    </row>
    <row r="76" spans="1:15">
      <c r="A76" s="2"/>
    </row>
    <row r="77" spans="1:15">
      <c r="A77" s="2"/>
    </row>
    <row r="78" spans="1:15">
      <c r="A78" s="2"/>
    </row>
    <row r="79" spans="1:15">
      <c r="A79" s="2"/>
    </row>
    <row r="80" spans="1:15">
      <c r="A80" s="2"/>
      <c r="B80" s="1"/>
      <c r="C80" s="1"/>
      <c r="D80" s="1"/>
      <c r="E80" s="1"/>
      <c r="F80" s="1"/>
      <c r="G80" s="1"/>
      <c r="H80" s="1"/>
      <c r="I80" s="1"/>
      <c r="O80" s="13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R. Evensen</dc:creator>
  <cp:keywords/>
  <dc:description/>
  <cp:lastModifiedBy/>
  <cp:revision/>
  <dcterms:created xsi:type="dcterms:W3CDTF">2023-03-07T07:17:10Z</dcterms:created>
  <dcterms:modified xsi:type="dcterms:W3CDTF">2024-08-14T18:18:36Z</dcterms:modified>
  <cp:category/>
  <cp:contentStatus/>
</cp:coreProperties>
</file>