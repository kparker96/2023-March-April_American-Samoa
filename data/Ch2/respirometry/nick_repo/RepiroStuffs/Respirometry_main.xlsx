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sevensen/Documents/ODU_Post-doc/2019-01_Eilat/RepiroStuffs/"/>
    </mc:Choice>
  </mc:AlternateContent>
  <xr:revisionPtr revIDLastSave="0" documentId="13_ncr:1_{605C9121-6AE4-D346-8865-768AA9DEC13E}" xr6:coauthVersionLast="45" xr6:coauthVersionMax="45" xr10:uidLastSave="{00000000-0000-0000-0000-000000000000}"/>
  <bookViews>
    <workbookView xWindow="0" yWindow="460" windowWidth="28800" windowHeight="17540" xr2:uid="{00000000-000D-0000-FFFF-FFFF00000000}"/>
  </bookViews>
  <sheets>
    <sheet name="Master_resp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" i="1" l="1"/>
  <c r="Q19" i="1"/>
  <c r="Q21" i="1"/>
  <c r="Q23" i="1"/>
  <c r="Q27" i="1"/>
  <c r="Q28" i="1"/>
  <c r="Q32" i="1"/>
  <c r="Q36" i="1"/>
  <c r="Q40" i="1"/>
  <c r="Q44" i="1"/>
  <c r="Q48" i="1"/>
  <c r="Q52" i="1"/>
  <c r="Q56" i="1"/>
  <c r="Q59" i="1"/>
  <c r="Q60" i="1"/>
  <c r="Q63" i="1"/>
  <c r="Q64" i="1"/>
  <c r="Q68" i="1"/>
  <c r="Q72" i="1"/>
  <c r="Q75" i="1"/>
  <c r="Q76" i="1"/>
  <c r="Q79" i="1"/>
  <c r="Q80" i="1"/>
  <c r="Q84" i="1"/>
  <c r="Q88" i="1"/>
  <c r="Q91" i="1"/>
  <c r="Q92" i="1"/>
  <c r="Q95" i="1"/>
  <c r="Q96" i="1"/>
  <c r="Q100" i="1"/>
  <c r="Q104" i="1"/>
  <c r="Q107" i="1"/>
  <c r="Q108" i="1"/>
  <c r="Q111" i="1"/>
  <c r="Q112" i="1"/>
  <c r="Q116" i="1"/>
  <c r="Q117" i="1"/>
  <c r="Q120" i="1"/>
  <c r="Q123" i="1"/>
  <c r="Q124" i="1"/>
  <c r="Q127" i="1"/>
  <c r="Q128" i="1"/>
  <c r="Q132" i="1"/>
  <c r="Q136" i="1"/>
  <c r="Q139" i="1"/>
  <c r="N28" i="1"/>
  <c r="N29" i="1"/>
  <c r="Q29" i="1" s="1"/>
  <c r="N30" i="1"/>
  <c r="N31" i="1"/>
  <c r="N32" i="1"/>
  <c r="N33" i="1"/>
  <c r="N34" i="1"/>
  <c r="N35" i="1"/>
  <c r="N36" i="1"/>
  <c r="N37" i="1"/>
  <c r="Q37" i="1" s="1"/>
  <c r="N38" i="1"/>
  <c r="N39" i="1"/>
  <c r="N40" i="1"/>
  <c r="N41" i="1"/>
  <c r="N42" i="1"/>
  <c r="N43" i="1"/>
  <c r="N44" i="1"/>
  <c r="N45" i="1"/>
  <c r="Q45" i="1" s="1"/>
  <c r="N46" i="1"/>
  <c r="N47" i="1"/>
  <c r="N48" i="1"/>
  <c r="N49" i="1"/>
  <c r="N50" i="1"/>
  <c r="N51" i="1"/>
  <c r="N52" i="1"/>
  <c r="N53" i="1"/>
  <c r="Q53" i="1" s="1"/>
  <c r="N54" i="1"/>
  <c r="N55" i="1"/>
  <c r="N56" i="1"/>
  <c r="N57" i="1"/>
  <c r="N58" i="1"/>
  <c r="N59" i="1"/>
  <c r="O59" i="1" s="1"/>
  <c r="N60" i="1"/>
  <c r="N61" i="1"/>
  <c r="Q61" i="1" s="1"/>
  <c r="N62" i="1"/>
  <c r="N63" i="1"/>
  <c r="O63" i="1" s="1"/>
  <c r="N64" i="1"/>
  <c r="N65" i="1"/>
  <c r="N66" i="1"/>
  <c r="N67" i="1"/>
  <c r="O67" i="1" s="1"/>
  <c r="N68" i="1"/>
  <c r="N69" i="1"/>
  <c r="Q69" i="1" s="1"/>
  <c r="N70" i="1"/>
  <c r="N71" i="1"/>
  <c r="O71" i="1" s="1"/>
  <c r="N72" i="1"/>
  <c r="N73" i="1"/>
  <c r="N74" i="1"/>
  <c r="N75" i="1"/>
  <c r="O75" i="1" s="1"/>
  <c r="N76" i="1"/>
  <c r="N77" i="1"/>
  <c r="Q77" i="1" s="1"/>
  <c r="N78" i="1"/>
  <c r="N79" i="1"/>
  <c r="O79" i="1" s="1"/>
  <c r="N80" i="1"/>
  <c r="N81" i="1"/>
  <c r="N82" i="1"/>
  <c r="N83" i="1"/>
  <c r="O83" i="1" s="1"/>
  <c r="N84" i="1"/>
  <c r="N85" i="1"/>
  <c r="Q85" i="1" s="1"/>
  <c r="N86" i="1"/>
  <c r="N87" i="1"/>
  <c r="O87" i="1" s="1"/>
  <c r="N88" i="1"/>
  <c r="N89" i="1"/>
  <c r="N90" i="1"/>
  <c r="N91" i="1"/>
  <c r="O91" i="1" s="1"/>
  <c r="N92" i="1"/>
  <c r="N93" i="1"/>
  <c r="Q93" i="1" s="1"/>
  <c r="N94" i="1"/>
  <c r="N95" i="1"/>
  <c r="O95" i="1" s="1"/>
  <c r="N96" i="1"/>
  <c r="N97" i="1"/>
  <c r="N98" i="1"/>
  <c r="N99" i="1"/>
  <c r="O99" i="1" s="1"/>
  <c r="N100" i="1"/>
  <c r="N101" i="1"/>
  <c r="Q101" i="1" s="1"/>
  <c r="N102" i="1"/>
  <c r="N103" i="1"/>
  <c r="O103" i="1" s="1"/>
  <c r="N104" i="1"/>
  <c r="N105" i="1"/>
  <c r="N106" i="1"/>
  <c r="N107" i="1"/>
  <c r="O107" i="1" s="1"/>
  <c r="N108" i="1"/>
  <c r="N109" i="1"/>
  <c r="Q109" i="1" s="1"/>
  <c r="N110" i="1"/>
  <c r="N111" i="1"/>
  <c r="O111" i="1" s="1"/>
  <c r="N112" i="1"/>
  <c r="N113" i="1"/>
  <c r="N114" i="1"/>
  <c r="N115" i="1"/>
  <c r="O115" i="1" s="1"/>
  <c r="N116" i="1"/>
  <c r="N117" i="1"/>
  <c r="O117" i="1" s="1"/>
  <c r="N118" i="1"/>
  <c r="N119" i="1"/>
  <c r="O119" i="1" s="1"/>
  <c r="N120" i="1"/>
  <c r="N121" i="1"/>
  <c r="N122" i="1"/>
  <c r="N123" i="1"/>
  <c r="O123" i="1" s="1"/>
  <c r="N124" i="1"/>
  <c r="N125" i="1"/>
  <c r="N126" i="1"/>
  <c r="N127" i="1"/>
  <c r="O127" i="1" s="1"/>
  <c r="N128" i="1"/>
  <c r="N129" i="1"/>
  <c r="N130" i="1"/>
  <c r="N131" i="1"/>
  <c r="O131" i="1" s="1"/>
  <c r="N132" i="1"/>
  <c r="N133" i="1"/>
  <c r="O133" i="1" s="1"/>
  <c r="N134" i="1"/>
  <c r="N135" i="1"/>
  <c r="O135" i="1" s="1"/>
  <c r="N136" i="1"/>
  <c r="N137" i="1"/>
  <c r="Q137" i="1" s="1"/>
  <c r="N138" i="1"/>
  <c r="N139" i="1"/>
  <c r="O139" i="1" s="1"/>
  <c r="N27" i="1"/>
  <c r="N26" i="1"/>
  <c r="N25" i="1"/>
  <c r="Q25" i="1" s="1"/>
  <c r="N24" i="1"/>
  <c r="O24" i="1" s="1"/>
  <c r="N23" i="1"/>
  <c r="N22" i="1"/>
  <c r="N21" i="1"/>
  <c r="N20" i="1"/>
  <c r="O20" i="1" s="1"/>
  <c r="N19" i="1"/>
  <c r="N18" i="1"/>
  <c r="N17" i="1"/>
  <c r="Q17" i="1" s="1"/>
  <c r="N16" i="1"/>
  <c r="O16" i="1" s="1"/>
  <c r="O6" i="1"/>
  <c r="O10" i="1"/>
  <c r="O12" i="1"/>
  <c r="O17" i="1"/>
  <c r="O19" i="1"/>
  <c r="O21" i="1"/>
  <c r="O23" i="1"/>
  <c r="O25" i="1"/>
  <c r="O27" i="1"/>
  <c r="O28" i="1"/>
  <c r="O32" i="1"/>
  <c r="O36" i="1"/>
  <c r="O37" i="1"/>
  <c r="O40" i="1"/>
  <c r="O44" i="1"/>
  <c r="O45" i="1"/>
  <c r="O48" i="1"/>
  <c r="O52" i="1"/>
  <c r="O56" i="1"/>
  <c r="O60" i="1"/>
  <c r="O64" i="1"/>
  <c r="O68" i="1"/>
  <c r="O69" i="1"/>
  <c r="O72" i="1"/>
  <c r="O76" i="1"/>
  <c r="O77" i="1"/>
  <c r="O80" i="1"/>
  <c r="O84" i="1"/>
  <c r="O88" i="1"/>
  <c r="O92" i="1"/>
  <c r="O96" i="1"/>
  <c r="O100" i="1"/>
  <c r="O101" i="1"/>
  <c r="O104" i="1"/>
  <c r="O108" i="1"/>
  <c r="O109" i="1"/>
  <c r="O112" i="1"/>
  <c r="O116" i="1"/>
  <c r="O120" i="1"/>
  <c r="O124" i="1"/>
  <c r="O128" i="1"/>
  <c r="O132" i="1"/>
  <c r="O136" i="1"/>
  <c r="O137" i="1"/>
  <c r="O2" i="1"/>
  <c r="N13" i="1"/>
  <c r="Q13" i="1" s="1"/>
  <c r="N12" i="1"/>
  <c r="Q12" i="1" s="1"/>
  <c r="N11" i="1"/>
  <c r="N10" i="1"/>
  <c r="Q10" i="1" s="1"/>
  <c r="N9" i="1"/>
  <c r="Q9" i="1" s="1"/>
  <c r="N8" i="1"/>
  <c r="Q8" i="1" s="1"/>
  <c r="N7" i="1"/>
  <c r="Q7" i="1" s="1"/>
  <c r="N6" i="1"/>
  <c r="Q6" i="1" s="1"/>
  <c r="N5" i="1"/>
  <c r="Q5" i="1" s="1"/>
  <c r="N4" i="1"/>
  <c r="Q4" i="1" s="1"/>
  <c r="Q3" i="1"/>
  <c r="N3" i="1"/>
  <c r="O3" i="1" s="1"/>
  <c r="N2" i="1"/>
  <c r="N14" i="1"/>
  <c r="Q14" i="1" s="1"/>
  <c r="N15" i="1"/>
  <c r="R7" i="1" l="1"/>
  <c r="P137" i="1"/>
  <c r="R12" i="1"/>
  <c r="Q18" i="1"/>
  <c r="O18" i="1"/>
  <c r="Q26" i="1"/>
  <c r="O26" i="1"/>
  <c r="O121" i="1"/>
  <c r="P121" i="1" s="1"/>
  <c r="Q121" i="1"/>
  <c r="Q113" i="1"/>
  <c r="O113" i="1"/>
  <c r="R101" i="1"/>
  <c r="S101" i="1" s="1"/>
  <c r="T101" i="1" s="1"/>
  <c r="U101" i="1" s="1"/>
  <c r="Q97" i="1"/>
  <c r="O97" i="1"/>
  <c r="Q81" i="1"/>
  <c r="R81" i="1" s="1"/>
  <c r="O81" i="1"/>
  <c r="Q65" i="1"/>
  <c r="O65" i="1"/>
  <c r="P65" i="1" s="1"/>
  <c r="O49" i="1"/>
  <c r="Q49" i="1"/>
  <c r="O41" i="1"/>
  <c r="P41" i="1" s="1"/>
  <c r="Q41" i="1"/>
  <c r="R63" i="1"/>
  <c r="S63" i="1" s="1"/>
  <c r="T63" i="1" s="1"/>
  <c r="U63" i="1" s="1"/>
  <c r="O85" i="1"/>
  <c r="O53" i="1"/>
  <c r="P25" i="1"/>
  <c r="Q15" i="1"/>
  <c r="R15" i="1" s="1"/>
  <c r="O15" i="1"/>
  <c r="Q11" i="1"/>
  <c r="O11" i="1"/>
  <c r="P11" i="1" s="1"/>
  <c r="P101" i="1"/>
  <c r="R4" i="1"/>
  <c r="S4" i="1" s="1"/>
  <c r="T4" i="1" s="1"/>
  <c r="U4" i="1" s="1"/>
  <c r="O7" i="1"/>
  <c r="P7" i="1" s="1"/>
  <c r="Q22" i="1"/>
  <c r="O22" i="1"/>
  <c r="Q129" i="1"/>
  <c r="O129" i="1"/>
  <c r="P129" i="1" s="1"/>
  <c r="O125" i="1"/>
  <c r="Q125" i="1"/>
  <c r="Q105" i="1"/>
  <c r="R105" i="1" s="1"/>
  <c r="O105" i="1"/>
  <c r="O89" i="1"/>
  <c r="Q89" i="1"/>
  <c r="R89" i="1" s="1"/>
  <c r="Q73" i="1"/>
  <c r="O73" i="1"/>
  <c r="R61" i="1"/>
  <c r="O57" i="1"/>
  <c r="Q57" i="1"/>
  <c r="R37" i="1"/>
  <c r="Q33" i="1"/>
  <c r="O33" i="1"/>
  <c r="Q133" i="1"/>
  <c r="R36" i="1"/>
  <c r="O93" i="1"/>
  <c r="O61" i="1"/>
  <c r="P61" i="1" s="1"/>
  <c r="O29" i="1"/>
  <c r="R139" i="1"/>
  <c r="R128" i="1"/>
  <c r="R44" i="1"/>
  <c r="R28" i="1"/>
  <c r="S28" i="1" s="1"/>
  <c r="T28" i="1" s="1"/>
  <c r="U28" i="1" s="1"/>
  <c r="R59" i="1"/>
  <c r="P16" i="1"/>
  <c r="P139" i="1"/>
  <c r="P135" i="1"/>
  <c r="P123" i="1"/>
  <c r="P119" i="1"/>
  <c r="P107" i="1"/>
  <c r="P103" i="1"/>
  <c r="P91" i="1"/>
  <c r="P87" i="1"/>
  <c r="P75" i="1"/>
  <c r="P71" i="1"/>
  <c r="P59" i="1"/>
  <c r="O55" i="1"/>
  <c r="P55" i="1" s="1"/>
  <c r="Q55" i="1"/>
  <c r="O51" i="1"/>
  <c r="Q51" i="1"/>
  <c r="R51" i="1" s="1"/>
  <c r="O47" i="1"/>
  <c r="P47" i="1" s="1"/>
  <c r="Q47" i="1"/>
  <c r="O43" i="1"/>
  <c r="Q43" i="1"/>
  <c r="R43" i="1" s="1"/>
  <c r="O39" i="1"/>
  <c r="P39" i="1" s="1"/>
  <c r="Q39" i="1"/>
  <c r="O35" i="1"/>
  <c r="Q35" i="1"/>
  <c r="R35" i="1" s="1"/>
  <c r="O31" i="1"/>
  <c r="P31" i="1" s="1"/>
  <c r="Q31" i="1"/>
  <c r="Q16" i="1"/>
  <c r="Q131" i="1"/>
  <c r="R131" i="1" s="1"/>
  <c r="Q115" i="1"/>
  <c r="R115" i="1" s="1"/>
  <c r="Q99" i="1"/>
  <c r="Q83" i="1"/>
  <c r="Q67" i="1"/>
  <c r="R67" i="1" s="1"/>
  <c r="R48" i="1"/>
  <c r="Q20" i="1"/>
  <c r="R107" i="1"/>
  <c r="S107" i="1" s="1"/>
  <c r="T107" i="1" s="1"/>
  <c r="U107" i="1" s="1"/>
  <c r="R96" i="1"/>
  <c r="S96" i="1" s="1"/>
  <c r="T96" i="1" s="1"/>
  <c r="U96" i="1" s="1"/>
  <c r="P108" i="1"/>
  <c r="P28" i="1"/>
  <c r="P27" i="1"/>
  <c r="O4" i="1"/>
  <c r="P4" i="1" s="1"/>
  <c r="P120" i="1"/>
  <c r="P112" i="1"/>
  <c r="P80" i="1"/>
  <c r="P72" i="1"/>
  <c r="P48" i="1"/>
  <c r="P40" i="1"/>
  <c r="O14" i="1"/>
  <c r="O8" i="1"/>
  <c r="P8" i="1" s="1"/>
  <c r="O138" i="1"/>
  <c r="Q138" i="1"/>
  <c r="O134" i="1"/>
  <c r="Q134" i="1"/>
  <c r="O130" i="1"/>
  <c r="Q130" i="1"/>
  <c r="O126" i="1"/>
  <c r="Q126" i="1"/>
  <c r="O122" i="1"/>
  <c r="Q122" i="1"/>
  <c r="O118" i="1"/>
  <c r="Q118" i="1"/>
  <c r="O114" i="1"/>
  <c r="Q114" i="1"/>
  <c r="O110" i="1"/>
  <c r="Q110" i="1"/>
  <c r="O106" i="1"/>
  <c r="Q106" i="1"/>
  <c r="O102" i="1"/>
  <c r="Q102" i="1"/>
  <c r="O98" i="1"/>
  <c r="Q98" i="1"/>
  <c r="O94" i="1"/>
  <c r="Q94" i="1"/>
  <c r="O90" i="1"/>
  <c r="Q90" i="1"/>
  <c r="O86" i="1"/>
  <c r="Q86" i="1"/>
  <c r="O82" i="1"/>
  <c r="Q82" i="1"/>
  <c r="O78" i="1"/>
  <c r="Q78" i="1"/>
  <c r="O74" i="1"/>
  <c r="Q74" i="1"/>
  <c r="O70" i="1"/>
  <c r="Q70" i="1"/>
  <c r="O66" i="1"/>
  <c r="Q66" i="1"/>
  <c r="O62" i="1"/>
  <c r="Q62" i="1"/>
  <c r="O58" i="1"/>
  <c r="Q58" i="1"/>
  <c r="O54" i="1"/>
  <c r="Q54" i="1"/>
  <c r="O50" i="1"/>
  <c r="Q50" i="1"/>
  <c r="O46" i="1"/>
  <c r="Q46" i="1"/>
  <c r="O42" i="1"/>
  <c r="Q42" i="1"/>
  <c r="O38" i="1"/>
  <c r="Q38" i="1"/>
  <c r="O34" i="1"/>
  <c r="Q34" i="1"/>
  <c r="O30" i="1"/>
  <c r="Q30" i="1"/>
  <c r="Q135" i="1"/>
  <c r="Q119" i="1"/>
  <c r="Q103" i="1"/>
  <c r="R103" i="1" s="1"/>
  <c r="S103" i="1" s="1"/>
  <c r="T103" i="1" s="1"/>
  <c r="U103" i="1" s="1"/>
  <c r="Q87" i="1"/>
  <c r="R87" i="1" s="1"/>
  <c r="S87" i="1" s="1"/>
  <c r="T87" i="1" s="1"/>
  <c r="U87" i="1" s="1"/>
  <c r="Q71" i="1"/>
  <c r="Q24" i="1"/>
  <c r="R19" i="1"/>
  <c r="P124" i="1"/>
  <c r="P92" i="1"/>
  <c r="P84" i="1"/>
  <c r="P44" i="1"/>
  <c r="P36" i="1"/>
  <c r="O13" i="1"/>
  <c r="O9" i="1"/>
  <c r="O5" i="1"/>
  <c r="P5" i="1" s="1"/>
  <c r="H3" i="1"/>
  <c r="R3" i="1" s="1"/>
  <c r="H4" i="1"/>
  <c r="H5" i="1"/>
  <c r="R5" i="1" s="1"/>
  <c r="H6" i="1"/>
  <c r="P6" i="1" s="1"/>
  <c r="H7" i="1"/>
  <c r="H8" i="1"/>
  <c r="R8" i="1" s="1"/>
  <c r="S8" i="1" s="1"/>
  <c r="T8" i="1" s="1"/>
  <c r="U8" i="1" s="1"/>
  <c r="H9" i="1"/>
  <c r="R9" i="1" s="1"/>
  <c r="H10" i="1"/>
  <c r="P10" i="1" s="1"/>
  <c r="H11" i="1"/>
  <c r="H12" i="1"/>
  <c r="P12" i="1" s="1"/>
  <c r="H13" i="1"/>
  <c r="R13" i="1" s="1"/>
  <c r="H14" i="1"/>
  <c r="R14" i="1" s="1"/>
  <c r="H15" i="1"/>
  <c r="H16" i="1"/>
  <c r="H17" i="1"/>
  <c r="R17" i="1" s="1"/>
  <c r="H18" i="1"/>
  <c r="H19" i="1"/>
  <c r="P19" i="1" s="1"/>
  <c r="H20" i="1"/>
  <c r="P20" i="1" s="1"/>
  <c r="H21" i="1"/>
  <c r="P21" i="1" s="1"/>
  <c r="H22" i="1"/>
  <c r="H23" i="1"/>
  <c r="R23" i="1" s="1"/>
  <c r="H24" i="1"/>
  <c r="P24" i="1" s="1"/>
  <c r="H25" i="1"/>
  <c r="R25" i="1" s="1"/>
  <c r="S25" i="1" s="1"/>
  <c r="T25" i="1" s="1"/>
  <c r="U25" i="1" s="1"/>
  <c r="H26" i="1"/>
  <c r="H27" i="1"/>
  <c r="R27" i="1" s="1"/>
  <c r="H28" i="1"/>
  <c r="H29" i="1"/>
  <c r="R29" i="1" s="1"/>
  <c r="H30" i="1"/>
  <c r="H31" i="1"/>
  <c r="H32" i="1"/>
  <c r="R32" i="1" s="1"/>
  <c r="H33" i="1"/>
  <c r="H34" i="1"/>
  <c r="H35" i="1"/>
  <c r="H36" i="1"/>
  <c r="H37" i="1"/>
  <c r="P37" i="1" s="1"/>
  <c r="H38" i="1"/>
  <c r="H39" i="1"/>
  <c r="H40" i="1"/>
  <c r="R40" i="1" s="1"/>
  <c r="S40" i="1" s="1"/>
  <c r="T40" i="1" s="1"/>
  <c r="U40" i="1" s="1"/>
  <c r="H41" i="1"/>
  <c r="H42" i="1"/>
  <c r="H43" i="1"/>
  <c r="H44" i="1"/>
  <c r="H45" i="1"/>
  <c r="P45" i="1" s="1"/>
  <c r="H46" i="1"/>
  <c r="H47" i="1"/>
  <c r="H48" i="1"/>
  <c r="H49" i="1"/>
  <c r="H50" i="1"/>
  <c r="H51" i="1"/>
  <c r="H52" i="1"/>
  <c r="R52" i="1" s="1"/>
  <c r="H53" i="1"/>
  <c r="R53" i="1" s="1"/>
  <c r="H54" i="1"/>
  <c r="H55" i="1"/>
  <c r="H56" i="1"/>
  <c r="R56" i="1" s="1"/>
  <c r="H57" i="1"/>
  <c r="H58" i="1"/>
  <c r="H59" i="1"/>
  <c r="H60" i="1"/>
  <c r="H61" i="1"/>
  <c r="H62" i="1"/>
  <c r="H63" i="1"/>
  <c r="P63" i="1" s="1"/>
  <c r="H64" i="1"/>
  <c r="P64" i="1" s="1"/>
  <c r="H65" i="1"/>
  <c r="H66" i="1"/>
  <c r="H67" i="1"/>
  <c r="P67" i="1" s="1"/>
  <c r="H68" i="1"/>
  <c r="R68" i="1" s="1"/>
  <c r="H69" i="1"/>
  <c r="P69" i="1" s="1"/>
  <c r="H70" i="1"/>
  <c r="H71" i="1"/>
  <c r="H72" i="1"/>
  <c r="R72" i="1" s="1"/>
  <c r="S72" i="1" s="1"/>
  <c r="T72" i="1" s="1"/>
  <c r="U72" i="1" s="1"/>
  <c r="H73" i="1"/>
  <c r="H74" i="1"/>
  <c r="H75" i="1"/>
  <c r="R75" i="1" s="1"/>
  <c r="H76" i="1"/>
  <c r="H77" i="1"/>
  <c r="P77" i="1" s="1"/>
  <c r="H78" i="1"/>
  <c r="H79" i="1"/>
  <c r="R79" i="1" s="1"/>
  <c r="H80" i="1"/>
  <c r="R80" i="1" s="1"/>
  <c r="H81" i="1"/>
  <c r="H82" i="1"/>
  <c r="H83" i="1"/>
  <c r="P83" i="1" s="1"/>
  <c r="H84" i="1"/>
  <c r="R84" i="1" s="1"/>
  <c r="S84" i="1" s="1"/>
  <c r="T84" i="1" s="1"/>
  <c r="U84" i="1" s="1"/>
  <c r="H85" i="1"/>
  <c r="R85" i="1" s="1"/>
  <c r="H86" i="1"/>
  <c r="H87" i="1"/>
  <c r="H88" i="1"/>
  <c r="R88" i="1" s="1"/>
  <c r="H89" i="1"/>
  <c r="H90" i="1"/>
  <c r="H91" i="1"/>
  <c r="R91" i="1" s="1"/>
  <c r="H92" i="1"/>
  <c r="R92" i="1" s="1"/>
  <c r="S92" i="1" s="1"/>
  <c r="T92" i="1" s="1"/>
  <c r="U92" i="1" s="1"/>
  <c r="H93" i="1"/>
  <c r="R93" i="1" s="1"/>
  <c r="H94" i="1"/>
  <c r="H95" i="1"/>
  <c r="R95" i="1" s="1"/>
  <c r="H96" i="1"/>
  <c r="P96" i="1" s="1"/>
  <c r="H97" i="1"/>
  <c r="H98" i="1"/>
  <c r="H99" i="1"/>
  <c r="P99" i="1" s="1"/>
  <c r="H100" i="1"/>
  <c r="R100" i="1" s="1"/>
  <c r="H101" i="1"/>
  <c r="H102" i="1"/>
  <c r="H103" i="1"/>
  <c r="H104" i="1"/>
  <c r="H105" i="1"/>
  <c r="H106" i="1"/>
  <c r="H107" i="1"/>
  <c r="H108" i="1"/>
  <c r="R108" i="1" s="1"/>
  <c r="S108" i="1" s="1"/>
  <c r="T108" i="1" s="1"/>
  <c r="U108" i="1" s="1"/>
  <c r="H109" i="1"/>
  <c r="P109" i="1" s="1"/>
  <c r="H110" i="1"/>
  <c r="H111" i="1"/>
  <c r="R111" i="1" s="1"/>
  <c r="H112" i="1"/>
  <c r="R112" i="1" s="1"/>
  <c r="H113" i="1"/>
  <c r="H114" i="1"/>
  <c r="H115" i="1"/>
  <c r="P115" i="1" s="1"/>
  <c r="H116" i="1"/>
  <c r="R116" i="1" s="1"/>
  <c r="H117" i="1"/>
  <c r="P117" i="1" s="1"/>
  <c r="H118" i="1"/>
  <c r="H119" i="1"/>
  <c r="H120" i="1"/>
  <c r="R120" i="1" s="1"/>
  <c r="S120" i="1" s="1"/>
  <c r="T120" i="1" s="1"/>
  <c r="U120" i="1" s="1"/>
  <c r="H121" i="1"/>
  <c r="H122" i="1"/>
  <c r="H123" i="1"/>
  <c r="R123" i="1" s="1"/>
  <c r="S123" i="1" s="1"/>
  <c r="T123" i="1" s="1"/>
  <c r="U123" i="1" s="1"/>
  <c r="H124" i="1"/>
  <c r="R124" i="1" s="1"/>
  <c r="S124" i="1" s="1"/>
  <c r="T124" i="1" s="1"/>
  <c r="U124" i="1" s="1"/>
  <c r="H125" i="1"/>
  <c r="H126" i="1"/>
  <c r="H127" i="1"/>
  <c r="P127" i="1" s="1"/>
  <c r="H128" i="1"/>
  <c r="P128" i="1" s="1"/>
  <c r="H129" i="1"/>
  <c r="H130" i="1"/>
  <c r="H131" i="1"/>
  <c r="P131" i="1" s="1"/>
  <c r="H132" i="1"/>
  <c r="R132" i="1" s="1"/>
  <c r="H133" i="1"/>
  <c r="P133" i="1" s="1"/>
  <c r="H134" i="1"/>
  <c r="H135" i="1"/>
  <c r="H136" i="1"/>
  <c r="R136" i="1" s="1"/>
  <c r="H137" i="1"/>
  <c r="R137" i="1" s="1"/>
  <c r="S137" i="1" s="1"/>
  <c r="T137" i="1" s="1"/>
  <c r="U137" i="1" s="1"/>
  <c r="H138" i="1"/>
  <c r="H139" i="1"/>
  <c r="H2" i="1"/>
  <c r="S12" i="1" l="1"/>
  <c r="T12" i="1" s="1"/>
  <c r="U12" i="1" s="1"/>
  <c r="S19" i="1"/>
  <c r="T19" i="1" s="1"/>
  <c r="U19" i="1" s="1"/>
  <c r="S128" i="1"/>
  <c r="T128" i="1" s="1"/>
  <c r="U128" i="1" s="1"/>
  <c r="S131" i="1"/>
  <c r="T131" i="1" s="1"/>
  <c r="U131" i="1" s="1"/>
  <c r="S139" i="1"/>
  <c r="T139" i="1" s="1"/>
  <c r="U139" i="1" s="1"/>
  <c r="S61" i="1"/>
  <c r="T61" i="1" s="1"/>
  <c r="U61" i="1" s="1"/>
  <c r="S80" i="1"/>
  <c r="T80" i="1" s="1"/>
  <c r="U80" i="1" s="1"/>
  <c r="S79" i="1"/>
  <c r="T79" i="1" s="1"/>
  <c r="U79" i="1" s="1"/>
  <c r="S75" i="1"/>
  <c r="T75" i="1" s="1"/>
  <c r="U75" i="1" s="1"/>
  <c r="S67" i="1"/>
  <c r="T67" i="1" s="1"/>
  <c r="U67" i="1" s="1"/>
  <c r="S59" i="1"/>
  <c r="T59" i="1" s="1"/>
  <c r="U59" i="1" s="1"/>
  <c r="S112" i="1"/>
  <c r="T112" i="1" s="1"/>
  <c r="U112" i="1" s="1"/>
  <c r="S91" i="1"/>
  <c r="T91" i="1" s="1"/>
  <c r="U91" i="1" s="1"/>
  <c r="S100" i="1"/>
  <c r="T100" i="1" s="1"/>
  <c r="U100" i="1" s="1"/>
  <c r="S115" i="1"/>
  <c r="T115" i="1" s="1"/>
  <c r="U115" i="1" s="1"/>
  <c r="S44" i="1"/>
  <c r="T44" i="1" s="1"/>
  <c r="U44" i="1" s="1"/>
  <c r="S48" i="1"/>
  <c r="T48" i="1" s="1"/>
  <c r="U48" i="1" s="1"/>
  <c r="S27" i="1"/>
  <c r="T27" i="1" s="1"/>
  <c r="U27" i="1" s="1"/>
  <c r="S36" i="1"/>
  <c r="T36" i="1" s="1"/>
  <c r="U36" i="1" s="1"/>
  <c r="S37" i="1"/>
  <c r="T37" i="1" s="1"/>
  <c r="U37" i="1" s="1"/>
  <c r="S5" i="1"/>
  <c r="T5" i="1" s="1"/>
  <c r="U5" i="1" s="1"/>
  <c r="S7" i="1"/>
  <c r="T7" i="1" s="1"/>
  <c r="U7" i="1" s="1"/>
  <c r="P62" i="1"/>
  <c r="P86" i="1"/>
  <c r="P110" i="1"/>
  <c r="P126" i="1"/>
  <c r="R21" i="1"/>
  <c r="S21" i="1" s="1"/>
  <c r="T21" i="1" s="1"/>
  <c r="U21" i="1" s="1"/>
  <c r="P93" i="1"/>
  <c r="S93" i="1" s="1"/>
  <c r="T93" i="1" s="1"/>
  <c r="U93" i="1" s="1"/>
  <c r="R45" i="1"/>
  <c r="S45" i="1" s="1"/>
  <c r="T45" i="1" s="1"/>
  <c r="U45" i="1" s="1"/>
  <c r="P73" i="1"/>
  <c r="P89" i="1"/>
  <c r="S89" i="1" s="1"/>
  <c r="T89" i="1" s="1"/>
  <c r="U89" i="1" s="1"/>
  <c r="R109" i="1"/>
  <c r="S109" i="1" s="1"/>
  <c r="T109" i="1" s="1"/>
  <c r="U109" i="1" s="1"/>
  <c r="R129" i="1"/>
  <c r="S129" i="1" s="1"/>
  <c r="T129" i="1" s="1"/>
  <c r="U129" i="1" s="1"/>
  <c r="R117" i="1"/>
  <c r="S117" i="1" s="1"/>
  <c r="T117" i="1" s="1"/>
  <c r="U117" i="1" s="1"/>
  <c r="P53" i="1"/>
  <c r="S53" i="1" s="1"/>
  <c r="T53" i="1" s="1"/>
  <c r="U53" i="1" s="1"/>
  <c r="R49" i="1"/>
  <c r="R65" i="1"/>
  <c r="S65" i="1" s="1"/>
  <c r="T65" i="1" s="1"/>
  <c r="U65" i="1" s="1"/>
  <c r="P113" i="1"/>
  <c r="R18" i="1"/>
  <c r="R127" i="1"/>
  <c r="S127" i="1" s="1"/>
  <c r="T127" i="1" s="1"/>
  <c r="U127" i="1" s="1"/>
  <c r="R38" i="1"/>
  <c r="S38" i="1" s="1"/>
  <c r="T38" i="1" s="1"/>
  <c r="U38" i="1" s="1"/>
  <c r="R46" i="1"/>
  <c r="S46" i="1" s="1"/>
  <c r="T46" i="1" s="1"/>
  <c r="U46" i="1" s="1"/>
  <c r="R62" i="1"/>
  <c r="S62" i="1" s="1"/>
  <c r="T62" i="1" s="1"/>
  <c r="U62" i="1" s="1"/>
  <c r="R78" i="1"/>
  <c r="S78" i="1" s="1"/>
  <c r="T78" i="1" s="1"/>
  <c r="U78" i="1" s="1"/>
  <c r="R94" i="1"/>
  <c r="S94" i="1" s="1"/>
  <c r="T94" i="1" s="1"/>
  <c r="U94" i="1" s="1"/>
  <c r="R110" i="1"/>
  <c r="R126" i="1"/>
  <c r="S126" i="1" s="1"/>
  <c r="T126" i="1" s="1"/>
  <c r="U126" i="1" s="1"/>
  <c r="R22" i="1"/>
  <c r="P18" i="1"/>
  <c r="P9" i="1"/>
  <c r="S9" i="1" s="1"/>
  <c r="T9" i="1" s="1"/>
  <c r="U9" i="1" s="1"/>
  <c r="P38" i="1"/>
  <c r="P46" i="1"/>
  <c r="P70" i="1"/>
  <c r="P94" i="1"/>
  <c r="P118" i="1"/>
  <c r="P14" i="1"/>
  <c r="S14" i="1" s="1"/>
  <c r="T14" i="1" s="1"/>
  <c r="U14" i="1" s="1"/>
  <c r="P104" i="1"/>
  <c r="R104" i="1"/>
  <c r="P76" i="1"/>
  <c r="R76" i="1"/>
  <c r="S76" i="1" s="1"/>
  <c r="T76" i="1" s="1"/>
  <c r="U76" i="1" s="1"/>
  <c r="P13" i="1"/>
  <c r="S13" i="1" s="1"/>
  <c r="T13" i="1" s="1"/>
  <c r="U13" i="1" s="1"/>
  <c r="P52" i="1"/>
  <c r="S52" i="1" s="1"/>
  <c r="T52" i="1" s="1"/>
  <c r="U52" i="1" s="1"/>
  <c r="P100" i="1"/>
  <c r="R24" i="1"/>
  <c r="S24" i="1" s="1"/>
  <c r="T24" i="1" s="1"/>
  <c r="U24" i="1" s="1"/>
  <c r="R119" i="1"/>
  <c r="S119" i="1" s="1"/>
  <c r="T119" i="1" s="1"/>
  <c r="U119" i="1" s="1"/>
  <c r="R34" i="1"/>
  <c r="R42" i="1"/>
  <c r="R50" i="1"/>
  <c r="R58" i="1"/>
  <c r="S58" i="1" s="1"/>
  <c r="T58" i="1" s="1"/>
  <c r="U58" i="1" s="1"/>
  <c r="R66" i="1"/>
  <c r="R74" i="1"/>
  <c r="R82" i="1"/>
  <c r="S82" i="1" s="1"/>
  <c r="T82" i="1" s="1"/>
  <c r="U82" i="1" s="1"/>
  <c r="R90" i="1"/>
  <c r="S90" i="1" s="1"/>
  <c r="T90" i="1" s="1"/>
  <c r="U90" i="1" s="1"/>
  <c r="R98" i="1"/>
  <c r="R106" i="1"/>
  <c r="R114" i="1"/>
  <c r="R122" i="1"/>
  <c r="R130" i="1"/>
  <c r="R138" i="1"/>
  <c r="P56" i="1"/>
  <c r="S56" i="1" s="1"/>
  <c r="T56" i="1" s="1"/>
  <c r="U56" i="1" s="1"/>
  <c r="P88" i="1"/>
  <c r="S88" i="1" s="1"/>
  <c r="T88" i="1" s="1"/>
  <c r="U88" i="1" s="1"/>
  <c r="R10" i="1"/>
  <c r="S10" i="1" s="1"/>
  <c r="T10" i="1" s="1"/>
  <c r="U10" i="1" s="1"/>
  <c r="P132" i="1"/>
  <c r="S132" i="1" s="1"/>
  <c r="T132" i="1" s="1"/>
  <c r="U132" i="1" s="1"/>
  <c r="R64" i="1"/>
  <c r="S64" i="1" s="1"/>
  <c r="T64" i="1" s="1"/>
  <c r="U64" i="1" s="1"/>
  <c r="R20" i="1"/>
  <c r="S20" i="1" s="1"/>
  <c r="T20" i="1" s="1"/>
  <c r="U20" i="1" s="1"/>
  <c r="R83" i="1"/>
  <c r="S83" i="1" s="1"/>
  <c r="T83" i="1" s="1"/>
  <c r="U83" i="1" s="1"/>
  <c r="R16" i="1"/>
  <c r="S16" i="1" s="1"/>
  <c r="T16" i="1" s="1"/>
  <c r="U16" i="1" s="1"/>
  <c r="P35" i="1"/>
  <c r="S35" i="1" s="1"/>
  <c r="T35" i="1" s="1"/>
  <c r="U35" i="1" s="1"/>
  <c r="P43" i="1"/>
  <c r="S43" i="1" s="1"/>
  <c r="T43" i="1" s="1"/>
  <c r="U43" i="1" s="1"/>
  <c r="P51" i="1"/>
  <c r="S51" i="1" s="1"/>
  <c r="T51" i="1" s="1"/>
  <c r="U51" i="1" s="1"/>
  <c r="P79" i="1"/>
  <c r="P95" i="1"/>
  <c r="S95" i="1" s="1"/>
  <c r="T95" i="1" s="1"/>
  <c r="U95" i="1" s="1"/>
  <c r="P111" i="1"/>
  <c r="S111" i="1" s="1"/>
  <c r="T111" i="1" s="1"/>
  <c r="U111" i="1" s="1"/>
  <c r="P17" i="1"/>
  <c r="S17" i="1" s="1"/>
  <c r="T17" i="1" s="1"/>
  <c r="U17" i="1" s="1"/>
  <c r="P33" i="1"/>
  <c r="R57" i="1"/>
  <c r="S57" i="1" s="1"/>
  <c r="T57" i="1" s="1"/>
  <c r="U57" i="1" s="1"/>
  <c r="R73" i="1"/>
  <c r="S73" i="1" s="1"/>
  <c r="T73" i="1" s="1"/>
  <c r="U73" i="1" s="1"/>
  <c r="R125" i="1"/>
  <c r="R11" i="1"/>
  <c r="S11" i="1" s="1"/>
  <c r="T11" i="1" s="1"/>
  <c r="U11" i="1" s="1"/>
  <c r="P85" i="1"/>
  <c r="S85" i="1" s="1"/>
  <c r="T85" i="1" s="1"/>
  <c r="U85" i="1" s="1"/>
  <c r="P49" i="1"/>
  <c r="R69" i="1"/>
  <c r="S69" i="1" s="1"/>
  <c r="T69" i="1" s="1"/>
  <c r="U69" i="1" s="1"/>
  <c r="P97" i="1"/>
  <c r="R113" i="1"/>
  <c r="P26" i="1"/>
  <c r="R30" i="1"/>
  <c r="R54" i="1"/>
  <c r="R70" i="1"/>
  <c r="S70" i="1" s="1"/>
  <c r="T70" i="1" s="1"/>
  <c r="U70" i="1" s="1"/>
  <c r="R86" i="1"/>
  <c r="S86" i="1" s="1"/>
  <c r="T86" i="1" s="1"/>
  <c r="U86" i="1" s="1"/>
  <c r="R102" i="1"/>
  <c r="R118" i="1"/>
  <c r="S118" i="1" s="1"/>
  <c r="T118" i="1" s="1"/>
  <c r="U118" i="1" s="1"/>
  <c r="R134" i="1"/>
  <c r="P30" i="1"/>
  <c r="P54" i="1"/>
  <c r="P78" i="1"/>
  <c r="P102" i="1"/>
  <c r="P134" i="1"/>
  <c r="R133" i="1"/>
  <c r="S133" i="1" s="1"/>
  <c r="T133" i="1" s="1"/>
  <c r="U133" i="1" s="1"/>
  <c r="R2" i="1"/>
  <c r="P2" i="1"/>
  <c r="P60" i="1"/>
  <c r="R60" i="1"/>
  <c r="P23" i="1"/>
  <c r="S23" i="1" s="1"/>
  <c r="T23" i="1" s="1"/>
  <c r="U23" i="1" s="1"/>
  <c r="P68" i="1"/>
  <c r="S68" i="1" s="1"/>
  <c r="T68" i="1" s="1"/>
  <c r="U68" i="1" s="1"/>
  <c r="P116" i="1"/>
  <c r="S116" i="1" s="1"/>
  <c r="T116" i="1" s="1"/>
  <c r="U116" i="1" s="1"/>
  <c r="R71" i="1"/>
  <c r="S71" i="1" s="1"/>
  <c r="T71" i="1" s="1"/>
  <c r="U71" i="1" s="1"/>
  <c r="R135" i="1"/>
  <c r="S135" i="1" s="1"/>
  <c r="T135" i="1" s="1"/>
  <c r="U135" i="1" s="1"/>
  <c r="P34" i="1"/>
  <c r="P42" i="1"/>
  <c r="P50" i="1"/>
  <c r="P58" i="1"/>
  <c r="P66" i="1"/>
  <c r="P74" i="1"/>
  <c r="P82" i="1"/>
  <c r="P90" i="1"/>
  <c r="P98" i="1"/>
  <c r="P106" i="1"/>
  <c r="P114" i="1"/>
  <c r="P122" i="1"/>
  <c r="P130" i="1"/>
  <c r="P138" i="1"/>
  <c r="P32" i="1"/>
  <c r="S32" i="1" s="1"/>
  <c r="T32" i="1" s="1"/>
  <c r="U32" i="1" s="1"/>
  <c r="R6" i="1"/>
  <c r="S6" i="1" s="1"/>
  <c r="T6" i="1" s="1"/>
  <c r="U6" i="1" s="1"/>
  <c r="R99" i="1"/>
  <c r="S99" i="1" s="1"/>
  <c r="T99" i="1" s="1"/>
  <c r="U99" i="1" s="1"/>
  <c r="R31" i="1"/>
  <c r="S31" i="1" s="1"/>
  <c r="T31" i="1" s="1"/>
  <c r="U31" i="1" s="1"/>
  <c r="R39" i="1"/>
  <c r="S39" i="1" s="1"/>
  <c r="T39" i="1" s="1"/>
  <c r="U39" i="1" s="1"/>
  <c r="R47" i="1"/>
  <c r="S47" i="1" s="1"/>
  <c r="T47" i="1" s="1"/>
  <c r="U47" i="1" s="1"/>
  <c r="R55" i="1"/>
  <c r="S55" i="1" s="1"/>
  <c r="T55" i="1" s="1"/>
  <c r="U55" i="1" s="1"/>
  <c r="P136" i="1"/>
  <c r="S136" i="1" s="1"/>
  <c r="T136" i="1" s="1"/>
  <c r="U136" i="1" s="1"/>
  <c r="P29" i="1"/>
  <c r="S29" i="1" s="1"/>
  <c r="T29" i="1" s="1"/>
  <c r="U29" i="1" s="1"/>
  <c r="P3" i="1"/>
  <c r="S3" i="1" s="1"/>
  <c r="T3" i="1" s="1"/>
  <c r="U3" i="1" s="1"/>
  <c r="R33" i="1"/>
  <c r="S33" i="1" s="1"/>
  <c r="T33" i="1" s="1"/>
  <c r="U33" i="1" s="1"/>
  <c r="P57" i="1"/>
  <c r="R77" i="1"/>
  <c r="S77" i="1" s="1"/>
  <c r="T77" i="1" s="1"/>
  <c r="U77" i="1" s="1"/>
  <c r="P105" i="1"/>
  <c r="S105" i="1" s="1"/>
  <c r="T105" i="1" s="1"/>
  <c r="U105" i="1" s="1"/>
  <c r="P125" i="1"/>
  <c r="P22" i="1"/>
  <c r="P15" i="1"/>
  <c r="S15" i="1" s="1"/>
  <c r="T15" i="1" s="1"/>
  <c r="U15" i="1" s="1"/>
  <c r="R41" i="1"/>
  <c r="S41" i="1" s="1"/>
  <c r="T41" i="1" s="1"/>
  <c r="U41" i="1" s="1"/>
  <c r="P81" i="1"/>
  <c r="S81" i="1" s="1"/>
  <c r="T81" i="1" s="1"/>
  <c r="U81" i="1" s="1"/>
  <c r="R97" i="1"/>
  <c r="S97" i="1" s="1"/>
  <c r="T97" i="1" s="1"/>
  <c r="U97" i="1" s="1"/>
  <c r="R121" i="1"/>
  <c r="S121" i="1" s="1"/>
  <c r="T121" i="1" s="1"/>
  <c r="U121" i="1" s="1"/>
  <c r="R26" i="1"/>
  <c r="C149" i="1"/>
  <c r="B149" i="1"/>
  <c r="C148" i="1"/>
  <c r="B14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2" i="1"/>
  <c r="S18" i="1" l="1"/>
  <c r="T18" i="1" s="1"/>
  <c r="U18" i="1" s="1"/>
  <c r="S138" i="1"/>
  <c r="T138" i="1" s="1"/>
  <c r="U138" i="1" s="1"/>
  <c r="S125" i="1"/>
  <c r="T125" i="1" s="1"/>
  <c r="U125" i="1" s="1"/>
  <c r="S130" i="1"/>
  <c r="T130" i="1" s="1"/>
  <c r="U130" i="1" s="1"/>
  <c r="S122" i="1"/>
  <c r="T122" i="1" s="1"/>
  <c r="U122" i="1" s="1"/>
  <c r="S134" i="1"/>
  <c r="T134" i="1" s="1"/>
  <c r="U134" i="1" s="1"/>
  <c r="S54" i="1"/>
  <c r="T54" i="1" s="1"/>
  <c r="U54" i="1" s="1"/>
  <c r="S74" i="1"/>
  <c r="T74" i="1" s="1"/>
  <c r="U74" i="1" s="1"/>
  <c r="S60" i="1"/>
  <c r="T60" i="1" s="1"/>
  <c r="U60" i="1" s="1"/>
  <c r="S66" i="1"/>
  <c r="T66" i="1" s="1"/>
  <c r="U66" i="1" s="1"/>
  <c r="S113" i="1"/>
  <c r="T113" i="1" s="1"/>
  <c r="U113" i="1" s="1"/>
  <c r="S114" i="1"/>
  <c r="T114" i="1" s="1"/>
  <c r="U114" i="1" s="1"/>
  <c r="S106" i="1"/>
  <c r="T106" i="1" s="1"/>
  <c r="U106" i="1" s="1"/>
  <c r="S102" i="1"/>
  <c r="T102" i="1" s="1"/>
  <c r="U102" i="1" s="1"/>
  <c r="S98" i="1"/>
  <c r="T98" i="1" s="1"/>
  <c r="U98" i="1" s="1"/>
  <c r="S104" i="1"/>
  <c r="T104" i="1" s="1"/>
  <c r="U104" i="1" s="1"/>
  <c r="S110" i="1"/>
  <c r="T110" i="1" s="1"/>
  <c r="U110" i="1" s="1"/>
  <c r="S50" i="1"/>
  <c r="T50" i="1" s="1"/>
  <c r="U50" i="1" s="1"/>
  <c r="S22" i="1"/>
  <c r="T22" i="1" s="1"/>
  <c r="U22" i="1" s="1"/>
  <c r="S49" i="1"/>
  <c r="T49" i="1" s="1"/>
  <c r="U49" i="1" s="1"/>
  <c r="S26" i="1"/>
  <c r="T26" i="1" s="1"/>
  <c r="U26" i="1" s="1"/>
  <c r="S42" i="1"/>
  <c r="T42" i="1" s="1"/>
  <c r="U42" i="1" s="1"/>
  <c r="S30" i="1"/>
  <c r="T30" i="1" s="1"/>
  <c r="U30" i="1" s="1"/>
  <c r="S34" i="1"/>
  <c r="T34" i="1" s="1"/>
  <c r="U34" i="1" s="1"/>
  <c r="S2" i="1"/>
  <c r="T2" i="1" s="1"/>
  <c r="U2" i="1" s="1"/>
</calcChain>
</file>

<file path=xl/sharedStrings.xml><?xml version="1.0" encoding="utf-8"?>
<sst xmlns="http://schemas.openxmlformats.org/spreadsheetml/2006/main" count="960" uniqueCount="173">
  <si>
    <t>Sample_name</t>
  </si>
  <si>
    <t>RSS_T1-34.5_13A</t>
  </si>
  <si>
    <t>RSS_T1-34.5_13B</t>
  </si>
  <si>
    <t>RSS_T1-34.5_9A</t>
  </si>
  <si>
    <t>RSS_T1-34.5_9B</t>
  </si>
  <si>
    <t>RSS_T1-34.5_14A</t>
  </si>
  <si>
    <t>RSS_T1-34.5_14B</t>
  </si>
  <si>
    <t>RSS_T1-34.5_15A</t>
  </si>
  <si>
    <t>RSS_T1-34.5_15B</t>
  </si>
  <si>
    <t>Field_drift1</t>
  </si>
  <si>
    <t>Field_drift2</t>
  </si>
  <si>
    <t>Field_drift3</t>
  </si>
  <si>
    <t>CBASS_T0_8</t>
  </si>
  <si>
    <t>CBASS_T0_9</t>
  </si>
  <si>
    <t>CBASS_T0_13</t>
  </si>
  <si>
    <t>CBASS_T0_14</t>
  </si>
  <si>
    <t>CBASS_T0_15</t>
  </si>
  <si>
    <t>CBASS_T0_drift1</t>
  </si>
  <si>
    <t>CBASS_T0_drift2</t>
  </si>
  <si>
    <t>CBASS_T0_drift3</t>
  </si>
  <si>
    <t>CBASS_T1-27A_9</t>
  </si>
  <si>
    <t>CBASS_T1-27A_13</t>
  </si>
  <si>
    <t>CBASS_T1-27A_14</t>
  </si>
  <si>
    <t>CBASS_T1-27A_15</t>
  </si>
  <si>
    <t>CBASS_T1-27B_9</t>
  </si>
  <si>
    <t>CBASS_T1-27B_13</t>
  </si>
  <si>
    <t>CBASS_T1-27B_14</t>
  </si>
  <si>
    <t>CBASS_T1-27B_15</t>
  </si>
  <si>
    <t>CBASS_T1-29.5A_9</t>
  </si>
  <si>
    <t>CBASS_T1-29.5A_13</t>
  </si>
  <si>
    <t>CBASS_T1-29.5A_14</t>
  </si>
  <si>
    <t>CBASS_T1-29.5A_15</t>
  </si>
  <si>
    <t>CBASS_T1-29.5B_9</t>
  </si>
  <si>
    <t>CBASS_T1-29.5B_13</t>
  </si>
  <si>
    <t>CBASS_T1-29.5B_14</t>
  </si>
  <si>
    <t>CBASS_T1-29.5B_15</t>
  </si>
  <si>
    <t>CBASS_T1-32A_9</t>
  </si>
  <si>
    <t>CBASS_T1-32A_13</t>
  </si>
  <si>
    <t>CBASS_T1-32A_14</t>
  </si>
  <si>
    <t>CBASS_T1-32A_15</t>
  </si>
  <si>
    <t>CBASS_T1-32B_9</t>
  </si>
  <si>
    <t>CBASS_T1-32B_13</t>
  </si>
  <si>
    <t>CBASS_T1-32B_14</t>
  </si>
  <si>
    <t>CBASS_T1-32B_15</t>
  </si>
  <si>
    <t>CBASS_T1-34.5A_9</t>
  </si>
  <si>
    <t>CBASS_T1-34.5A_13</t>
  </si>
  <si>
    <t>CBASS_T1-34.5A_14</t>
  </si>
  <si>
    <t>CBASS_T1-34.5A_15</t>
  </si>
  <si>
    <t>CBASS_T1-34.5B_9</t>
  </si>
  <si>
    <t>CBASS_T1-34.5B_13</t>
  </si>
  <si>
    <t>CBASS_T1-34.5B_14</t>
  </si>
  <si>
    <t>CBASS_T1-34.5B_15</t>
  </si>
  <si>
    <t>CBASS_T2-27A_9</t>
  </si>
  <si>
    <t>CBASS_T2-27A_13</t>
  </si>
  <si>
    <t>CBASS_T2-27A_14</t>
  </si>
  <si>
    <t>CBASS_T2-27A_15</t>
  </si>
  <si>
    <t>CBASS_T2-27B_9</t>
  </si>
  <si>
    <t>CBASS_T2-27B_13</t>
  </si>
  <si>
    <t>CBASS_T2-27B_14</t>
  </si>
  <si>
    <t>CBASS_T2-27B_15</t>
  </si>
  <si>
    <t>CBASS_T2-29.5A_9</t>
  </si>
  <si>
    <t>CBASS_T2-29.5A_13</t>
  </si>
  <si>
    <t>CBASS_T2-29.5A_14</t>
  </si>
  <si>
    <t>CBASS_T2-29.5A_15</t>
  </si>
  <si>
    <t>CBASS_T2-29.5B_9</t>
  </si>
  <si>
    <t>CBASS_T2-29.5B_13</t>
  </si>
  <si>
    <t>CBASS_T2-29.5B_14</t>
  </si>
  <si>
    <t>CBASS_T2-29.5B_15</t>
  </si>
  <si>
    <t>CBASS_T2-32A_9</t>
  </si>
  <si>
    <t>CBASS_T2-32A_13</t>
  </si>
  <si>
    <t>CBASS_T2-32A_14</t>
  </si>
  <si>
    <t>CBASS_T2-32A_15</t>
  </si>
  <si>
    <t>CBASS_T2-32B_9</t>
  </si>
  <si>
    <t>CBASS_T2-32B_13</t>
  </si>
  <si>
    <t>CBASS_T2-32B_14</t>
  </si>
  <si>
    <t>CBASS_T2-32B_15</t>
  </si>
  <si>
    <t>CBASS_T2-34.5A_9</t>
  </si>
  <si>
    <t>CBASS_T2-34.5A_13</t>
  </si>
  <si>
    <t>CBASS_T2-34.5A_14</t>
  </si>
  <si>
    <t>CBASS_T2-34.5A_15</t>
  </si>
  <si>
    <t>CBASS_T2-34.5B_9</t>
  </si>
  <si>
    <t>CBASS_T2-34.5B_13</t>
  </si>
  <si>
    <t>CBASS_T2-34.5B_14</t>
  </si>
  <si>
    <t>CBASS_T2-34.5B_15</t>
  </si>
  <si>
    <t>RSS_T1-27A_9</t>
  </si>
  <si>
    <t>RSS_T1-27A_13</t>
  </si>
  <si>
    <t>RSS_T1-27A_14</t>
  </si>
  <si>
    <t>RSS_T1-27A_15</t>
  </si>
  <si>
    <t>RSS_T1-27B_9</t>
  </si>
  <si>
    <t>RSS_T1-27B_13</t>
  </si>
  <si>
    <t>RSS_T1-27B_14</t>
  </si>
  <si>
    <t>RSS_T1-27B_15</t>
  </si>
  <si>
    <t>RSS_T1-29.5A_9</t>
  </si>
  <si>
    <t>RSS_T1-29.5A_13</t>
  </si>
  <si>
    <t>RSS_T1-29.5A_14</t>
  </si>
  <si>
    <t>RSS_T1-29.5A_15</t>
  </si>
  <si>
    <t>RSS_T1-29.5B_9</t>
  </si>
  <si>
    <t>RSS_T1-29.5B_13</t>
  </si>
  <si>
    <t>RSS_T1-29.5B_14</t>
  </si>
  <si>
    <t>RSS_T1-29.5B_15</t>
  </si>
  <si>
    <t>RSS_T1-32A_9</t>
  </si>
  <si>
    <t>RSS_T1-32A_13</t>
  </si>
  <si>
    <t>RSS_T1-32A_14</t>
  </si>
  <si>
    <t>RSS_T1-32A_15</t>
  </si>
  <si>
    <t>RSS_T1-32B_9</t>
  </si>
  <si>
    <t>RSS_T1-32B_13</t>
  </si>
  <si>
    <t>RSS_T1-32B_14</t>
  </si>
  <si>
    <t>RSS_T1-32B_15</t>
  </si>
  <si>
    <t>RSS_T3-27A_9</t>
  </si>
  <si>
    <t>RSS_T3-27A_13</t>
  </si>
  <si>
    <t>RSS_T3-27A_14</t>
  </si>
  <si>
    <t>RSS_T3-27A_15</t>
  </si>
  <si>
    <t>RSS_T3-27B_9</t>
  </si>
  <si>
    <t>RSS_T3-27B_13</t>
  </si>
  <si>
    <t>RSS_T3-27B_14</t>
  </si>
  <si>
    <t>RSS_T3-27B_15</t>
  </si>
  <si>
    <t>RSS_T3-29.5A_9</t>
  </si>
  <si>
    <t>RSS_T3-29.5A_13</t>
  </si>
  <si>
    <t>RSS_T3-29.5A_14</t>
  </si>
  <si>
    <t>RSS_T3-29.5A_15</t>
  </si>
  <si>
    <t>RSS_T3-29.5B_9</t>
  </si>
  <si>
    <t>RSS_T3-29.5B_13</t>
  </si>
  <si>
    <t>RSS_T3-29.5B_14</t>
  </si>
  <si>
    <t>RSS_T3-29.5B_15</t>
  </si>
  <si>
    <t>RSS_T3-32A_9</t>
  </si>
  <si>
    <t>RSS_T3-32A_13</t>
  </si>
  <si>
    <t>RSS_T3-32A_14</t>
  </si>
  <si>
    <t>RSS_T3-32A_15</t>
  </si>
  <si>
    <t>RSS_T3-32B_9</t>
  </si>
  <si>
    <t>RSS_T3-32B_13</t>
  </si>
  <si>
    <t>RSS_T3-32B_14</t>
  </si>
  <si>
    <t>RSS_T3-32B_15</t>
  </si>
  <si>
    <t>RSS_T3-34.5A_9</t>
  </si>
  <si>
    <t>RSS_T3-34.5A_13</t>
  </si>
  <si>
    <t>RSS_T3-34.5A_14</t>
  </si>
  <si>
    <t>RSS_T3-34.5A_15</t>
  </si>
  <si>
    <t>RSS_T3-34.5B_9</t>
  </si>
  <si>
    <t>RSS_T3-34.5B_13</t>
  </si>
  <si>
    <t>RSS_T3-34.5B_14</t>
  </si>
  <si>
    <t>RSS_T3-34.5B_15</t>
  </si>
  <si>
    <t>Resp (ml/l)</t>
  </si>
  <si>
    <t>Net_Photo  (ml/l)</t>
  </si>
  <si>
    <t>Gross_Photo (ml/l)</t>
  </si>
  <si>
    <t>Mean_CBASS_drift</t>
  </si>
  <si>
    <t>Mean_Field_drift</t>
  </si>
  <si>
    <t>Surface_area (cm2)</t>
  </si>
  <si>
    <t>Chamber</t>
  </si>
  <si>
    <t>Chamber_vol</t>
  </si>
  <si>
    <t>Coral_volume</t>
  </si>
  <si>
    <t>Volume_correction (l)</t>
  </si>
  <si>
    <t>Salinity</t>
  </si>
  <si>
    <t>incubation_Temp</t>
  </si>
  <si>
    <t>Density</t>
  </si>
  <si>
    <t>Molar mass</t>
  </si>
  <si>
    <t>molar volume</t>
  </si>
  <si>
    <t>Net_Photo (umol/l)</t>
  </si>
  <si>
    <t>Net_Resp (umol/l)</t>
  </si>
  <si>
    <t>Net_Resp (umol/cm2/h)</t>
  </si>
  <si>
    <t>P:R (daily)</t>
  </si>
  <si>
    <t>RSS</t>
  </si>
  <si>
    <t>09</t>
  </si>
  <si>
    <t>Field</t>
  </si>
  <si>
    <t>0v2</t>
  </si>
  <si>
    <t>A</t>
  </si>
  <si>
    <t>B</t>
  </si>
  <si>
    <t>CBASS</t>
  </si>
  <si>
    <t>Net_Photo (umol/cm2/h)</t>
  </si>
  <si>
    <t>Gross_Photo (umol/cm2/h)</t>
  </si>
  <si>
    <t>CBASS_Field_8</t>
  </si>
  <si>
    <t>CBASS_Field_9</t>
  </si>
  <si>
    <t>CBASS_Field_13</t>
  </si>
  <si>
    <t>CBASS_Field_14</t>
  </si>
  <si>
    <t>CBASS_Field_15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</si>
</sst>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11" fontId="0" fillId="0" borderId="0" xfId="0" applyNumberFormat="1"/>
    <xf numFmtId="165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16" fillId="0" borderId="0" xfId="0" applyFont="1"/>
    <xf numFmtId="0" fontId="18" fillId="0" borderId="0" xfId="0" applyFont="1"/>
    <xf numFmtId="166" fontId="0" fillId="0" borderId="0" xfId="0" applyNumberFormat="1"/>
    <xf numFmtId="0" fontId="0" fillId="0" borderId="0" xfId="0" applyFill="1"/>
    <xf numFmtId="0" fontId="16" fillId="0" borderId="0" xfId="0" applyFont="1" applyFill="1"/>
    <xf numFmtId="164" fontId="16" fillId="0" borderId="0" xfId="0" applyNumberFormat="1" applyFont="1"/>
    <xf numFmtId="11" fontId="0" fillId="0" borderId="0" xfId="0" applyNumberFormat="1" applyFill="1"/>
    <xf numFmtId="0" fontId="0" fillId="34" borderId="0" xfId="0" applyFill="1"/>
    <xf numFmtId="0" fontId="18" fillId="0" borderId="0" xfId="0" applyFont="1" applyFill="1"/>
    <xf numFmtId="165" fontId="0" fillId="0" borderId="0" xfId="0" applyNumberFormat="1" applyFill="1"/>
    <xf numFmtId="166" fontId="0" fillId="0" borderId="0" xfId="0" applyNumberFormat="1" applyFill="1"/>
    <xf numFmtId="164" fontId="16" fillId="0" borderId="0" xfId="0" applyNumberFormat="1" applyFont="1" applyFill="1"/>
    <xf numFmtId="0" fontId="14" fillId="0" borderId="0" xfId="0" applyFont="1"/>
    <xf numFmtId="11" fontId="14" fillId="0" borderId="0" xfId="0" applyNumberFormat="1" applyFont="1"/>
    <xf numFmtId="165" fontId="14" fillId="0" borderId="0" xfId="0" applyNumberFormat="1" applyFont="1"/>
    <xf numFmtId="166" fontId="14" fillId="0" borderId="0" xfId="0" applyNumberFormat="1" applyFont="1"/>
    <xf numFmtId="0" fontId="14" fillId="0" borderId="0" xfId="0" applyFont="1" applyFill="1"/>
    <xf numFmtId="164" fontId="19" fillId="0" borderId="0" xfId="0" applyNumberFormat="1" applyFont="1"/>
    <xf numFmtId="0" fontId="19" fillId="0" borderId="0" xfId="0" applyFont="1" applyFill="1"/>
    <xf numFmtId="0" fontId="19" fillId="0" borderId="0" xfId="0" applyFont="1"/>
    <xf numFmtId="0" fontId="0" fillId="35" borderId="0" xfId="0" applyFill="1"/>
    <xf numFmtId="11" fontId="0" fillId="35" borderId="0" xfId="0" applyNumberFormat="1" applyFill="1"/>
    <xf numFmtId="0" fontId="18" fillId="35" borderId="0" xfId="0" applyFont="1" applyFill="1"/>
    <xf numFmtId="165" fontId="0" fillId="35" borderId="0" xfId="0" applyNumberFormat="1" applyFill="1"/>
    <xf numFmtId="166" fontId="0" fillId="35" borderId="0" xfId="0" applyNumberFormat="1" applyFill="1"/>
    <xf numFmtId="164" fontId="16" fillId="35" borderId="0" xfId="0" applyNumberFormat="1" applyFont="1" applyFill="1"/>
    <xf numFmtId="0" fontId="16" fillId="35" borderId="0" xfId="0" applyFont="1" applyFill="1"/>
    <xf numFmtId="0" fontId="20" fillId="0" borderId="0" xfId="0" applyFont="1" applyAlignment="1">
      <alignment horizontal="left"/>
    </xf>
    <xf numFmtId="0" fontId="20" fillId="0" borderId="0" xfId="0" quotePrefix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/>
    <xf numFmtId="166" fontId="20" fillId="0" borderId="0" xfId="0" applyNumberFormat="1" applyFont="1"/>
    <xf numFmtId="0" fontId="20" fillId="0" borderId="0" xfId="0" quotePrefix="1" applyFont="1" applyAlignment="1">
      <alignment horizontal="left"/>
    </xf>
    <xf numFmtId="166" fontId="20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0" fontId="0" fillId="36" borderId="0" xfId="0" applyFill="1"/>
    <xf numFmtId="11" fontId="0" fillId="36" borderId="0" xfId="0" applyNumberFormat="1" applyFill="1"/>
    <xf numFmtId="0" fontId="18" fillId="36" borderId="0" xfId="0" applyFont="1" applyFill="1"/>
    <xf numFmtId="165" fontId="0" fillId="36" borderId="0" xfId="0" applyNumberFormat="1" applyFill="1"/>
    <xf numFmtId="166" fontId="0" fillId="36" borderId="0" xfId="0" applyNumberFormat="1" applyFill="1"/>
    <xf numFmtId="164" fontId="16" fillId="36" borderId="0" xfId="0" applyNumberFormat="1" applyFont="1" applyFill="1"/>
    <xf numFmtId="0" fontId="16" fillId="36" borderId="0" xfId="0" applyFont="1" applyFill="1"/>
    <xf numFmtId="0" fontId="20" fillId="36" borderId="0" xfId="0" applyFont="1" applyFill="1" applyAlignment="1">
      <alignment horizontal="left"/>
    </xf>
    <xf numFmtId="0" fontId="20" fillId="36" borderId="0" xfId="0" applyFont="1" applyFill="1"/>
    <xf numFmtId="0" fontId="20" fillId="36" borderId="0" xfId="0" applyFont="1" applyFill="1" applyAlignment="1">
      <alignment horizontal="right"/>
    </xf>
    <xf numFmtId="0" fontId="20" fillId="36" borderId="0" xfId="0" quotePrefix="1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0"/>
  <sheetViews>
    <sheetView tabSelected="1" topLeftCell="I107" workbookViewId="0">
      <selection activeCell="R118" sqref="R118"/>
    </sheetView>
  </sheetViews>
  <sheetFormatPr baseColWidth="10" defaultRowHeight="16" x14ac:dyDescent="0.2"/>
  <cols>
    <col min="1" max="1" width="18" bestFit="1" customWidth="1"/>
    <col min="2" max="2" width="12.83203125" bestFit="1" customWidth="1"/>
    <col min="3" max="3" width="15.6640625" bestFit="1" customWidth="1"/>
    <col min="4" max="4" width="17" bestFit="1" customWidth="1"/>
    <col min="6" max="6" width="11.83203125" bestFit="1" customWidth="1"/>
    <col min="7" max="7" width="12.6640625" bestFit="1" customWidth="1"/>
    <col min="8" max="8" width="19.1640625" bestFit="1" customWidth="1"/>
    <col min="9" max="9" width="19.1640625" style="12" customWidth="1"/>
    <col min="10" max="10" width="15.33203125" bestFit="1" customWidth="1"/>
    <col min="14" max="14" width="12.5" bestFit="1" customWidth="1"/>
    <col min="15" max="15" width="17.33203125" bestFit="1" customWidth="1"/>
    <col min="16" max="16" width="21.6640625" style="5" bestFit="1" customWidth="1"/>
    <col min="17" max="17" width="17.33203125" bestFit="1" customWidth="1"/>
    <col min="18" max="18" width="22.33203125" style="5" bestFit="1" customWidth="1"/>
    <col min="19" max="19" width="19.5" style="5" bestFit="1" customWidth="1"/>
  </cols>
  <sheetData>
    <row r="1" spans="1:28" x14ac:dyDescent="0.2">
      <c r="A1" t="s">
        <v>0</v>
      </c>
      <c r="B1" t="s">
        <v>140</v>
      </c>
      <c r="C1" t="s">
        <v>141</v>
      </c>
      <c r="D1" t="s">
        <v>142</v>
      </c>
      <c r="E1" t="s">
        <v>146</v>
      </c>
      <c r="F1" t="s">
        <v>147</v>
      </c>
      <c r="G1" t="s">
        <v>148</v>
      </c>
      <c r="H1" t="s">
        <v>149</v>
      </c>
      <c r="I1" s="12" t="s">
        <v>145</v>
      </c>
      <c r="J1" t="s">
        <v>151</v>
      </c>
      <c r="K1" t="s">
        <v>150</v>
      </c>
      <c r="L1" t="s">
        <v>153</v>
      </c>
      <c r="M1" t="s">
        <v>152</v>
      </c>
      <c r="N1" t="s">
        <v>154</v>
      </c>
      <c r="O1" t="s">
        <v>156</v>
      </c>
      <c r="P1" s="5" t="s">
        <v>157</v>
      </c>
      <c r="Q1" t="s">
        <v>155</v>
      </c>
      <c r="R1" s="5" t="s">
        <v>166</v>
      </c>
      <c r="S1" s="5" t="s">
        <v>167</v>
      </c>
      <c r="T1" s="39" t="s">
        <v>158</v>
      </c>
      <c r="U1" s="39"/>
      <c r="W1" s="32" t="s">
        <v>159</v>
      </c>
      <c r="X1" s="33" t="s">
        <v>160</v>
      </c>
      <c r="Y1" s="34" t="s">
        <v>161</v>
      </c>
      <c r="Z1" s="35"/>
      <c r="AA1" s="34"/>
      <c r="AB1">
        <v>15.472504000000008</v>
      </c>
    </row>
    <row r="2" spans="1:28" s="25" customFormat="1" x14ac:dyDescent="0.2">
      <c r="A2" s="25" t="s">
        <v>1</v>
      </c>
      <c r="B2" s="26">
        <v>-2.2214413037942801E-5</v>
      </c>
      <c r="C2" s="26">
        <v>3.2995522995521699E-5</v>
      </c>
      <c r="D2" s="26">
        <f>C2-B2</f>
        <v>5.5209936033464503E-5</v>
      </c>
      <c r="E2" s="27">
        <v>1</v>
      </c>
      <c r="F2" s="27">
        <v>81.450999999999993</v>
      </c>
      <c r="G2" s="28">
        <v>2.1195710218443007</v>
      </c>
      <c r="H2" s="28">
        <f>(F2-G20)/1000</f>
        <v>7.8238499999999989E-2</v>
      </c>
      <c r="I2">
        <v>4.8737199999999969</v>
      </c>
      <c r="J2" s="29">
        <v>34.5</v>
      </c>
      <c r="K2" s="25">
        <v>40</v>
      </c>
      <c r="L2" s="25">
        <v>31.998000000000001</v>
      </c>
      <c r="M2" s="25">
        <v>1.2509999999999999</v>
      </c>
      <c r="N2" s="25">
        <f t="shared" ref="N2:N13" si="0">L2/M2</f>
        <v>25.577937649880099</v>
      </c>
      <c r="O2" s="26">
        <f>(B2*1000)/N2</f>
        <v>-8.684989908890068E-4</v>
      </c>
      <c r="P2" s="30">
        <f>((O2*H2)*3600)/I2</f>
        <v>-5.0191683124022418E-2</v>
      </c>
      <c r="Q2" s="25">
        <f t="shared" ref="Q2:Q17" si="1">(C2*1000)/N2</f>
        <v>1.2899993520656804E-3</v>
      </c>
      <c r="R2" s="31">
        <f>((Q2*H2)*3600)/I2</f>
        <v>7.4550735681107413E-2</v>
      </c>
      <c r="S2" s="30">
        <f>R2-P2</f>
        <v>0.12474241880512983</v>
      </c>
      <c r="T2" s="25">
        <f>(S2*12)/(P2*24)</f>
        <v>-1.2426602480822806</v>
      </c>
      <c r="U2" s="31">
        <f>SQRT(T2^2)</f>
        <v>1.2426602480822806</v>
      </c>
      <c r="W2" s="32" t="s">
        <v>159</v>
      </c>
      <c r="X2" s="35">
        <v>13</v>
      </c>
      <c r="Y2" s="34" t="s">
        <v>161</v>
      </c>
      <c r="Z2" s="35"/>
      <c r="AA2" s="34"/>
      <c r="AB2">
        <v>10.409692000000007</v>
      </c>
    </row>
    <row r="3" spans="1:28" s="25" customFormat="1" x14ac:dyDescent="0.2">
      <c r="A3" s="25" t="s">
        <v>2</v>
      </c>
      <c r="B3" s="26">
        <v>-1.3123503947035099E-5</v>
      </c>
      <c r="C3" s="26">
        <v>-5.1054131054130699E-5</v>
      </c>
      <c r="D3" s="26">
        <f t="shared" ref="D3:D56" si="2">C3-B3</f>
        <v>-3.79306271070956E-5</v>
      </c>
      <c r="E3" s="27">
        <v>2</v>
      </c>
      <c r="F3" s="27">
        <v>81.305000000000007</v>
      </c>
      <c r="G3" s="28">
        <v>0.98397679354031575</v>
      </c>
      <c r="H3" s="28">
        <f t="shared" ref="H3:H66" si="3">(F3-G21)/1000</f>
        <v>8.0426060000000008E-2</v>
      </c>
      <c r="I3">
        <v>8.2331559999999993</v>
      </c>
      <c r="J3" s="29">
        <v>34.5</v>
      </c>
      <c r="K3" s="25">
        <v>40</v>
      </c>
      <c r="L3" s="25">
        <v>31.998000000000001</v>
      </c>
      <c r="M3" s="25">
        <v>1.2509999999999999</v>
      </c>
      <c r="N3" s="25">
        <f t="shared" si="0"/>
        <v>25.577937649880099</v>
      </c>
      <c r="O3" s="26">
        <f t="shared" ref="O3:O66" si="4">(B3*1000)/N3</f>
        <v>-5.1307904987002028E-4</v>
      </c>
      <c r="P3" s="30">
        <f t="shared" ref="P3:P66" si="5">((O3*H3)*3600)/I3</f>
        <v>-1.8043352417775313E-2</v>
      </c>
      <c r="Q3" s="25">
        <f t="shared" si="1"/>
        <v>-1.9960221872841271E-3</v>
      </c>
      <c r="R3" s="31">
        <f t="shared" ref="R3:R66" si="6">((Q3*H3)*3600)/I3</f>
        <v>-7.0193728954612317E-2</v>
      </c>
      <c r="S3" s="30">
        <f t="shared" ref="S3:S66" si="7">R3-P3</f>
        <v>-5.2150376536837004E-2</v>
      </c>
      <c r="T3" s="25">
        <f t="shared" ref="T3:T66" si="8">(S3*12)/(P3*24)</f>
        <v>1.4451409951252001</v>
      </c>
      <c r="U3" s="31">
        <f t="shared" ref="U3:U66" si="9">SQRT(T3^2)</f>
        <v>1.4451409951252001</v>
      </c>
      <c r="W3" s="32" t="s">
        <v>159</v>
      </c>
      <c r="X3" s="35">
        <v>14</v>
      </c>
      <c r="Y3" s="34" t="s">
        <v>161</v>
      </c>
      <c r="Z3" s="35"/>
      <c r="AA3" s="34"/>
      <c r="AB3">
        <v>13.911075999999991</v>
      </c>
    </row>
    <row r="4" spans="1:28" s="25" customFormat="1" x14ac:dyDescent="0.2">
      <c r="A4" s="25" t="s">
        <v>3</v>
      </c>
      <c r="B4" s="25">
        <v>-1.0433973172988E-3</v>
      </c>
      <c r="C4" s="25">
        <v>-8.01812070282658E-4</v>
      </c>
      <c r="D4" s="26">
        <f t="shared" si="2"/>
        <v>2.4158524701614202E-4</v>
      </c>
      <c r="E4" s="27">
        <v>3</v>
      </c>
      <c r="F4" s="27">
        <v>82.116</v>
      </c>
      <c r="G4" s="28">
        <v>1.5517739076923083</v>
      </c>
      <c r="H4" s="28">
        <f t="shared" si="3"/>
        <v>7.9664219999999994E-2</v>
      </c>
      <c r="I4">
        <v>28.058560000000007</v>
      </c>
      <c r="J4" s="29">
        <v>34.5</v>
      </c>
      <c r="K4" s="25">
        <v>40</v>
      </c>
      <c r="L4" s="25">
        <v>31.998000000000001</v>
      </c>
      <c r="M4" s="25">
        <v>1.2509999999999999</v>
      </c>
      <c r="N4" s="25">
        <f t="shared" si="0"/>
        <v>25.577937649880099</v>
      </c>
      <c r="O4" s="26">
        <f t="shared" si="4"/>
        <v>-4.0792863427114155E-2</v>
      </c>
      <c r="P4" s="30">
        <f t="shared" si="5"/>
        <v>-0.41695061782768861</v>
      </c>
      <c r="Q4" s="25">
        <f t="shared" si="1"/>
        <v>-3.1347799860103914E-2</v>
      </c>
      <c r="R4" s="31">
        <f t="shared" si="6"/>
        <v>-0.32041105774696321</v>
      </c>
      <c r="S4" s="30">
        <f t="shared" si="7"/>
        <v>9.6539560080725395E-2</v>
      </c>
      <c r="T4" s="25">
        <f t="shared" si="8"/>
        <v>-0.11576857780388501</v>
      </c>
      <c r="U4" s="31">
        <f t="shared" si="9"/>
        <v>0.11576857780388501</v>
      </c>
      <c r="W4" s="32" t="s">
        <v>159</v>
      </c>
      <c r="X4" s="35">
        <v>15</v>
      </c>
      <c r="Y4" s="34" t="s">
        <v>161</v>
      </c>
      <c r="Z4" s="35"/>
      <c r="AA4" s="34"/>
      <c r="AB4">
        <v>18.264148000000013</v>
      </c>
    </row>
    <row r="5" spans="1:28" s="25" customFormat="1" x14ac:dyDescent="0.2">
      <c r="A5" s="25" t="s">
        <v>4</v>
      </c>
      <c r="B5" s="26">
        <v>-8.2576318223869094E-5</v>
      </c>
      <c r="C5" s="25">
        <v>-2.4807333842628002E-4</v>
      </c>
      <c r="D5" s="26">
        <f t="shared" si="2"/>
        <v>-1.6549702020241094E-4</v>
      </c>
      <c r="E5" s="27">
        <v>4</v>
      </c>
      <c r="F5" s="27">
        <v>81.135000000000005</v>
      </c>
      <c r="G5" s="28">
        <v>1.8356724647683045</v>
      </c>
      <c r="H5" s="28">
        <f t="shared" si="3"/>
        <v>7.9938408000000016E-2</v>
      </c>
      <c r="I5">
        <v>12.586228000000009</v>
      </c>
      <c r="J5" s="29">
        <v>34.5</v>
      </c>
      <c r="K5" s="25">
        <v>40</v>
      </c>
      <c r="L5" s="25">
        <v>31.998000000000001</v>
      </c>
      <c r="M5" s="25">
        <v>1.2509999999999999</v>
      </c>
      <c r="N5" s="25">
        <f t="shared" si="0"/>
        <v>25.577937649880099</v>
      </c>
      <c r="O5" s="26">
        <f t="shared" si="4"/>
        <v>-3.2284197167966821E-3</v>
      </c>
      <c r="P5" s="30">
        <f t="shared" si="5"/>
        <v>-7.3816320271612348E-2</v>
      </c>
      <c r="Q5" s="25">
        <f t="shared" si="1"/>
        <v>-9.6987232443051519E-3</v>
      </c>
      <c r="R5" s="31">
        <f t="shared" si="6"/>
        <v>-0.22175681108084602</v>
      </c>
      <c r="S5" s="30">
        <f t="shared" si="7"/>
        <v>-0.14794049080923366</v>
      </c>
      <c r="T5" s="25">
        <f t="shared" si="8"/>
        <v>1.00208524527419</v>
      </c>
      <c r="U5" s="31">
        <f t="shared" si="9"/>
        <v>1.00208524527419</v>
      </c>
      <c r="W5" s="32" t="s">
        <v>159</v>
      </c>
      <c r="X5" s="33" t="s">
        <v>160</v>
      </c>
      <c r="Y5" s="34">
        <v>0</v>
      </c>
      <c r="Z5" s="35"/>
      <c r="AA5" s="34"/>
      <c r="AB5">
        <v>22.19137599999998</v>
      </c>
    </row>
    <row r="6" spans="1:28" s="25" customFormat="1" x14ac:dyDescent="0.2">
      <c r="A6" s="25" t="s">
        <v>5</v>
      </c>
      <c r="B6" s="25">
        <v>-5.4968162195498003E-4</v>
      </c>
      <c r="C6" s="25">
        <v>-6.1130226636108898E-4</v>
      </c>
      <c r="D6" s="26">
        <f t="shared" si="2"/>
        <v>-6.1620644406108955E-5</v>
      </c>
      <c r="E6" s="27">
        <v>5</v>
      </c>
      <c r="F6" s="27">
        <v>81.918999999999997</v>
      </c>
      <c r="G6" s="28">
        <v>1.2678753506163121</v>
      </c>
      <c r="H6" s="28">
        <f t="shared" si="3"/>
        <v>8.0858104E-2</v>
      </c>
      <c r="I6">
        <v>15.803716000000012</v>
      </c>
      <c r="J6" s="29">
        <v>34.5</v>
      </c>
      <c r="K6" s="25">
        <v>40</v>
      </c>
      <c r="L6" s="25">
        <v>31.998000000000001</v>
      </c>
      <c r="M6" s="25">
        <v>1.2509999999999999</v>
      </c>
      <c r="N6" s="25">
        <f t="shared" si="0"/>
        <v>25.577937649880099</v>
      </c>
      <c r="O6" s="26">
        <f t="shared" si="4"/>
        <v>-2.1490459061993875E-2</v>
      </c>
      <c r="P6" s="30">
        <f t="shared" si="5"/>
        <v>-0.39583348535450719</v>
      </c>
      <c r="Q6" s="25">
        <f t="shared" si="1"/>
        <v>-2.3899591700035073E-2</v>
      </c>
      <c r="R6" s="31">
        <f t="shared" si="6"/>
        <v>-0.44020738011618893</v>
      </c>
      <c r="S6" s="30">
        <f t="shared" si="7"/>
        <v>-4.4373894761681743E-2</v>
      </c>
      <c r="T6" s="25">
        <f t="shared" si="8"/>
        <v>5.6051213961775648E-2</v>
      </c>
      <c r="U6" s="31">
        <f t="shared" si="9"/>
        <v>5.6051213961775648E-2</v>
      </c>
      <c r="W6" s="32" t="s">
        <v>159</v>
      </c>
      <c r="X6" s="35">
        <v>13</v>
      </c>
      <c r="Y6" s="34">
        <v>0</v>
      </c>
      <c r="Z6" s="35"/>
      <c r="AA6" s="34"/>
      <c r="AB6">
        <v>11.356011999999998</v>
      </c>
    </row>
    <row r="7" spans="1:28" s="25" customFormat="1" x14ac:dyDescent="0.2">
      <c r="A7" s="25" t="s">
        <v>6</v>
      </c>
      <c r="B7" s="26">
        <v>-3.2503083564602399E-5</v>
      </c>
      <c r="C7" s="25">
        <v>-2.04310669722433E-4</v>
      </c>
      <c r="D7" s="26">
        <f t="shared" si="2"/>
        <v>-1.7180758615783061E-4</v>
      </c>
      <c r="E7" s="27">
        <v>6</v>
      </c>
      <c r="F7" s="27">
        <v>82.186000000000007</v>
      </c>
      <c r="G7" s="28">
        <v>1.1732424982576466</v>
      </c>
      <c r="H7" s="28">
        <f t="shared" si="3"/>
        <v>8.0582320000000013E-2</v>
      </c>
      <c r="I7">
        <v>9.9838480000000018</v>
      </c>
      <c r="J7" s="29">
        <v>34.5</v>
      </c>
      <c r="K7" s="25">
        <v>40</v>
      </c>
      <c r="L7" s="25">
        <v>31.998000000000001</v>
      </c>
      <c r="M7" s="25">
        <v>1.2509999999999999</v>
      </c>
      <c r="N7" s="25">
        <f t="shared" si="0"/>
        <v>25.577937649880099</v>
      </c>
      <c r="O7" s="26">
        <f t="shared" si="4"/>
        <v>-1.2707468447814738E-3</v>
      </c>
      <c r="P7" s="30">
        <f t="shared" si="5"/>
        <v>-3.6923541302573498E-2</v>
      </c>
      <c r="Q7" s="25">
        <f t="shared" si="1"/>
        <v>-7.9877694800538669E-3</v>
      </c>
      <c r="R7" s="31">
        <f t="shared" si="6"/>
        <v>-0.2320971620141416</v>
      </c>
      <c r="S7" s="30">
        <f t="shared" si="7"/>
        <v>-0.1951736207115681</v>
      </c>
      <c r="T7" s="25">
        <f t="shared" si="8"/>
        <v>2.6429428736561205</v>
      </c>
      <c r="U7" s="31">
        <f t="shared" si="9"/>
        <v>2.6429428736561205</v>
      </c>
      <c r="W7" s="32" t="s">
        <v>159</v>
      </c>
      <c r="X7" s="35">
        <v>14</v>
      </c>
      <c r="Y7" s="34">
        <v>0</v>
      </c>
      <c r="Z7" s="35"/>
      <c r="AA7" s="34"/>
      <c r="AB7">
        <v>29.714620000000014</v>
      </c>
    </row>
    <row r="8" spans="1:28" s="25" customFormat="1" x14ac:dyDescent="0.2">
      <c r="A8" s="25" t="s">
        <v>7</v>
      </c>
      <c r="B8" s="26">
        <v>-8.5560437866175502E-5</v>
      </c>
      <c r="C8" s="25">
        <v>-1.46659536541887E-4</v>
      </c>
      <c r="D8" s="26">
        <f t="shared" si="2"/>
        <v>-6.1099098675711501E-5</v>
      </c>
      <c r="E8" s="27">
        <v>7</v>
      </c>
      <c r="F8" s="27">
        <v>82.891000000000005</v>
      </c>
      <c r="G8" s="28">
        <v>1.93030531712697</v>
      </c>
      <c r="H8" s="28">
        <f t="shared" si="3"/>
        <v>8.1703659999999997E-2</v>
      </c>
      <c r="I8">
        <v>5.9146719999999977</v>
      </c>
      <c r="J8" s="29">
        <v>34.5</v>
      </c>
      <c r="K8" s="25">
        <v>40</v>
      </c>
      <c r="L8" s="25">
        <v>31.998000000000001</v>
      </c>
      <c r="M8" s="25">
        <v>1.2509999999999999</v>
      </c>
      <c r="N8" s="25">
        <f t="shared" si="0"/>
        <v>25.577937649880099</v>
      </c>
      <c r="O8" s="26">
        <f t="shared" si="4"/>
        <v>-3.3450874357955351E-3</v>
      </c>
      <c r="P8" s="30">
        <f t="shared" si="5"/>
        <v>-0.16634923990514386</v>
      </c>
      <c r="Q8" s="25">
        <f t="shared" si="1"/>
        <v>-5.73382962103571E-3</v>
      </c>
      <c r="R8" s="31">
        <f t="shared" si="6"/>
        <v>-0.28513999036262877</v>
      </c>
      <c r="S8" s="30">
        <f t="shared" si="7"/>
        <v>-0.11879075045748491</v>
      </c>
      <c r="T8" s="25">
        <f t="shared" si="8"/>
        <v>0.357052279064281</v>
      </c>
      <c r="U8" s="31">
        <f t="shared" si="9"/>
        <v>0.357052279064281</v>
      </c>
      <c r="W8" s="32" t="s">
        <v>159</v>
      </c>
      <c r="X8" s="35">
        <v>15</v>
      </c>
      <c r="Y8" s="34">
        <v>0</v>
      </c>
      <c r="Z8" s="35"/>
      <c r="AA8" s="34"/>
      <c r="AB8">
        <v>13.437916</v>
      </c>
    </row>
    <row r="9" spans="1:28" s="25" customFormat="1" x14ac:dyDescent="0.2">
      <c r="A9" s="25" t="s">
        <v>8</v>
      </c>
      <c r="B9" s="25">
        <v>1.1352682701202499E-4</v>
      </c>
      <c r="C9" s="25">
        <v>-1.4392055003819299E-4</v>
      </c>
      <c r="D9" s="26">
        <f t="shared" si="2"/>
        <v>-2.5744737705021798E-4</v>
      </c>
      <c r="E9" s="27">
        <v>8</v>
      </c>
      <c r="F9" s="27">
        <v>82.2</v>
      </c>
      <c r="G9" s="28">
        <v>1.7410396124096392</v>
      </c>
      <c r="H9" s="28">
        <f t="shared" si="3"/>
        <v>8.0970511999999994E-2</v>
      </c>
      <c r="I9">
        <v>10.362376000000001</v>
      </c>
      <c r="J9" s="29">
        <v>34.5</v>
      </c>
      <c r="K9" s="25">
        <v>40</v>
      </c>
      <c r="L9" s="25">
        <v>31.998000000000001</v>
      </c>
      <c r="M9" s="25">
        <v>1.2509999999999999</v>
      </c>
      <c r="N9" s="25">
        <f t="shared" si="0"/>
        <v>25.577937649880099</v>
      </c>
      <c r="O9" s="26">
        <f t="shared" si="4"/>
        <v>4.4384667976762066E-3</v>
      </c>
      <c r="P9" s="30">
        <f t="shared" si="5"/>
        <v>0.12485415939068742</v>
      </c>
      <c r="Q9" s="25">
        <f t="shared" si="1"/>
        <v>-5.6267456746602728E-3</v>
      </c>
      <c r="R9" s="31">
        <f t="shared" si="6"/>
        <v>-0.15828046785946576</v>
      </c>
      <c r="S9" s="30">
        <f t="shared" si="7"/>
        <v>-0.28313462725015315</v>
      </c>
      <c r="T9" s="25">
        <f t="shared" si="8"/>
        <v>-1.1338614133157647</v>
      </c>
      <c r="U9" s="31">
        <f t="shared" si="9"/>
        <v>1.1338614133157647</v>
      </c>
      <c r="W9" s="32" t="s">
        <v>159</v>
      </c>
      <c r="X9" s="33" t="s">
        <v>160</v>
      </c>
      <c r="Y9" s="34" t="s">
        <v>162</v>
      </c>
      <c r="Z9" s="35"/>
      <c r="AA9" s="34"/>
      <c r="AB9">
        <v>29.430724000000001</v>
      </c>
    </row>
    <row r="10" spans="1:28" x14ac:dyDescent="0.2">
      <c r="A10" t="s">
        <v>168</v>
      </c>
      <c r="B10">
        <v>-1.3191664504947801E-4</v>
      </c>
      <c r="C10">
        <v>4.3438609901954803E-4</v>
      </c>
      <c r="D10" s="1">
        <f t="shared" si="2"/>
        <v>5.6630274406902609E-4</v>
      </c>
      <c r="E10" s="6">
        <v>1</v>
      </c>
      <c r="F10" s="6">
        <v>81.450999999999993</v>
      </c>
      <c r="G10">
        <v>1.2459359999999999</v>
      </c>
      <c r="H10" s="2">
        <f t="shared" si="3"/>
        <v>8.0351039999999999E-2</v>
      </c>
      <c r="I10">
        <v>9.8892159999999905</v>
      </c>
      <c r="J10" s="7">
        <v>22</v>
      </c>
      <c r="K10">
        <v>40</v>
      </c>
      <c r="L10" s="8">
        <v>31.998000000000001</v>
      </c>
      <c r="M10">
        <v>1.3049999999999999</v>
      </c>
      <c r="N10" s="8">
        <f t="shared" si="0"/>
        <v>24.51954022988506</v>
      </c>
      <c r="O10" s="1">
        <f t="shared" si="4"/>
        <v>-5.3800619347949491E-3</v>
      </c>
      <c r="P10" s="10">
        <f t="shared" si="5"/>
        <v>-0.15736908347544157</v>
      </c>
      <c r="Q10" s="8">
        <f t="shared" si="1"/>
        <v>1.7715915345350025E-2</v>
      </c>
      <c r="R10" s="9">
        <f t="shared" si="6"/>
        <v>0.51819800489573753</v>
      </c>
      <c r="S10" s="10">
        <f t="shared" si="7"/>
        <v>0.67556708837117907</v>
      </c>
      <c r="T10">
        <f t="shared" si="8"/>
        <v>-2.1464415800470924</v>
      </c>
      <c r="U10" s="5">
        <f t="shared" si="9"/>
        <v>2.1464415800470924</v>
      </c>
      <c r="W10" s="32" t="s">
        <v>159</v>
      </c>
      <c r="X10" s="35">
        <v>13</v>
      </c>
      <c r="Y10" s="34" t="s">
        <v>162</v>
      </c>
      <c r="Z10" s="35"/>
      <c r="AA10" s="34"/>
      <c r="AB10">
        <v>17.696355999999991</v>
      </c>
    </row>
    <row r="11" spans="1:28" x14ac:dyDescent="0.2">
      <c r="A11" t="s">
        <v>169</v>
      </c>
      <c r="B11">
        <v>-4.3719525330791802E-4</v>
      </c>
      <c r="C11">
        <v>4.4661651039935201E-4</v>
      </c>
      <c r="D11" s="1">
        <f t="shared" si="2"/>
        <v>8.8381176370727003E-4</v>
      </c>
      <c r="E11" s="6">
        <v>2</v>
      </c>
      <c r="F11" s="6">
        <v>81.305000000000007</v>
      </c>
      <c r="G11">
        <v>4.0328439999999999</v>
      </c>
      <c r="H11" s="2">
        <f t="shared" si="3"/>
        <v>7.9994300000000004E-2</v>
      </c>
      <c r="I11">
        <v>23.610855999999991</v>
      </c>
      <c r="J11" s="7">
        <v>22</v>
      </c>
      <c r="K11">
        <v>40</v>
      </c>
      <c r="L11" s="8">
        <v>31.998000000000001</v>
      </c>
      <c r="M11">
        <v>1.3049999999999999</v>
      </c>
      <c r="N11" s="8">
        <f t="shared" si="0"/>
        <v>24.51954022988506</v>
      </c>
      <c r="O11" s="1">
        <f t="shared" si="4"/>
        <v>-1.7830483329171604E-2</v>
      </c>
      <c r="P11" s="10">
        <f t="shared" si="5"/>
        <v>-0.21747679615188498</v>
      </c>
      <c r="Q11" s="8">
        <f t="shared" si="1"/>
        <v>1.821471798459761E-2</v>
      </c>
      <c r="R11" s="9">
        <f t="shared" si="6"/>
        <v>0.22216327157097016</v>
      </c>
      <c r="S11" s="10">
        <f t="shared" si="7"/>
        <v>0.43964006772285513</v>
      </c>
      <c r="T11">
        <f t="shared" si="8"/>
        <v>-1.0107746561978321</v>
      </c>
      <c r="U11" s="5">
        <f t="shared" si="9"/>
        <v>1.0107746561978321</v>
      </c>
      <c r="W11" s="32" t="s">
        <v>159</v>
      </c>
      <c r="X11" s="35">
        <v>14</v>
      </c>
      <c r="Y11" s="34" t="s">
        <v>162</v>
      </c>
      <c r="Z11" s="35"/>
      <c r="AA11" s="34"/>
      <c r="AB11">
        <v>26.21323600000002</v>
      </c>
    </row>
    <row r="12" spans="1:28" x14ac:dyDescent="0.2">
      <c r="A12" t="s">
        <v>170</v>
      </c>
      <c r="B12">
        <v>-2.3922672800592E-4</v>
      </c>
      <c r="C12">
        <v>3.6829068374098501E-4</v>
      </c>
      <c r="D12" s="1">
        <f t="shared" si="2"/>
        <v>6.0751741174690504E-4</v>
      </c>
      <c r="E12" s="6">
        <v>3</v>
      </c>
      <c r="F12" s="6">
        <v>82.116</v>
      </c>
      <c r="G12">
        <v>1.7167600000000001</v>
      </c>
      <c r="H12" s="2">
        <f t="shared" si="3"/>
        <v>8.1750032E-2</v>
      </c>
      <c r="I12">
        <v>13.201336000000005</v>
      </c>
      <c r="J12" s="7">
        <v>22</v>
      </c>
      <c r="K12">
        <v>40</v>
      </c>
      <c r="L12" s="8">
        <v>31.998000000000001</v>
      </c>
      <c r="M12">
        <v>1.3049999999999999</v>
      </c>
      <c r="N12" s="8">
        <f t="shared" si="0"/>
        <v>24.51954022988506</v>
      </c>
      <c r="O12" s="1">
        <f t="shared" si="4"/>
        <v>-9.7565747874156367E-3</v>
      </c>
      <c r="P12" s="10">
        <f t="shared" si="5"/>
        <v>-0.21750534066353863</v>
      </c>
      <c r="Q12" s="8">
        <f t="shared" si="1"/>
        <v>1.5020293214637959E-2</v>
      </c>
      <c r="R12" s="9">
        <f t="shared" si="6"/>
        <v>0.33485050478267714</v>
      </c>
      <c r="S12" s="10">
        <f t="shared" si="7"/>
        <v>0.55235584544621574</v>
      </c>
      <c r="T12">
        <f t="shared" si="8"/>
        <v>-1.2697523742662049</v>
      </c>
      <c r="U12" s="5">
        <f t="shared" si="9"/>
        <v>1.2697523742662049</v>
      </c>
      <c r="W12" s="32" t="s">
        <v>159</v>
      </c>
      <c r="X12" s="35">
        <v>15</v>
      </c>
      <c r="Y12" s="34" t="s">
        <v>162</v>
      </c>
      <c r="Z12" s="35"/>
      <c r="AA12" s="34"/>
      <c r="AB12">
        <v>10.835536000000003</v>
      </c>
    </row>
    <row r="13" spans="1:28" x14ac:dyDescent="0.2">
      <c r="A13" t="s">
        <v>171</v>
      </c>
      <c r="B13">
        <v>-2.1866379918459401E-4</v>
      </c>
      <c r="C13">
        <v>3.7350648486612198E-4</v>
      </c>
      <c r="D13" s="1">
        <f t="shared" si="2"/>
        <v>5.9217028405071604E-4</v>
      </c>
      <c r="E13" s="6">
        <v>4</v>
      </c>
      <c r="F13" s="6">
        <v>81.135000000000005</v>
      </c>
      <c r="G13">
        <v>1.5132160000000001</v>
      </c>
      <c r="H13" s="2">
        <f t="shared" si="3"/>
        <v>8.0314655999999998E-2</v>
      </c>
      <c r="I13">
        <v>13.390600000000004</v>
      </c>
      <c r="J13" s="7">
        <v>22</v>
      </c>
      <c r="K13">
        <v>40</v>
      </c>
      <c r="L13" s="8">
        <v>31.998000000000001</v>
      </c>
      <c r="M13">
        <v>1.3049999999999999</v>
      </c>
      <c r="N13" s="8">
        <f t="shared" si="0"/>
        <v>24.51954022988506</v>
      </c>
      <c r="O13" s="1">
        <f t="shared" si="4"/>
        <v>-8.9179404317737097E-3</v>
      </c>
      <c r="P13" s="10">
        <f t="shared" si="5"/>
        <v>-0.19255811874173137</v>
      </c>
      <c r="Q13" s="8">
        <f t="shared" si="1"/>
        <v>1.5233013399283991E-2</v>
      </c>
      <c r="R13" s="9">
        <f t="shared" si="6"/>
        <v>0.32891455436087874</v>
      </c>
      <c r="S13" s="10">
        <f t="shared" si="7"/>
        <v>0.52147267310261014</v>
      </c>
      <c r="T13">
        <f t="shared" si="8"/>
        <v>-1.3540656621236402</v>
      </c>
      <c r="U13" s="5">
        <f t="shared" si="9"/>
        <v>1.3540656621236402</v>
      </c>
      <c r="W13" s="32" t="s">
        <v>159</v>
      </c>
      <c r="X13" s="33" t="s">
        <v>160</v>
      </c>
      <c r="Y13" s="34">
        <v>1</v>
      </c>
      <c r="Z13" s="36">
        <v>27</v>
      </c>
      <c r="AA13" s="34" t="s">
        <v>163</v>
      </c>
      <c r="AB13">
        <v>17.696355999999991</v>
      </c>
    </row>
    <row r="14" spans="1:28" x14ac:dyDescent="0.2">
      <c r="A14" t="s">
        <v>172</v>
      </c>
      <c r="B14">
        <v>-3.89687070707107E-4</v>
      </c>
      <c r="C14">
        <v>9.8820471530336094E-4</v>
      </c>
      <c r="D14" s="1">
        <f t="shared" si="2"/>
        <v>1.3778917860104679E-3</v>
      </c>
      <c r="E14" s="6">
        <v>5</v>
      </c>
      <c r="F14" s="6">
        <v>81.918999999999997</v>
      </c>
      <c r="G14">
        <v>4.1418119999999998</v>
      </c>
      <c r="H14" s="2">
        <f t="shared" si="3"/>
        <v>7.9470304000000005E-2</v>
      </c>
      <c r="I14">
        <v>25.456179999999978</v>
      </c>
      <c r="J14" s="7">
        <v>22</v>
      </c>
      <c r="K14">
        <v>40</v>
      </c>
      <c r="L14" s="8">
        <v>31.998000000000001</v>
      </c>
      <c r="M14">
        <v>1.3049999999999999</v>
      </c>
      <c r="N14" s="8">
        <f>L14/M14</f>
        <v>24.51954022988506</v>
      </c>
      <c r="O14" s="1">
        <f t="shared" si="4"/>
        <v>-1.5892919159721689E-2</v>
      </c>
      <c r="P14" s="10">
        <f t="shared" si="5"/>
        <v>-0.17861495406827851</v>
      </c>
      <c r="Q14" s="8">
        <f t="shared" si="1"/>
        <v>4.0302742467369396E-2</v>
      </c>
      <c r="R14" s="9">
        <f t="shared" si="6"/>
        <v>0.45294841194931884</v>
      </c>
      <c r="S14" s="10">
        <f t="shared" si="7"/>
        <v>0.63156336601759733</v>
      </c>
      <c r="T14">
        <f t="shared" si="8"/>
        <v>-1.7679465006501409</v>
      </c>
      <c r="U14" s="5">
        <f t="shared" si="9"/>
        <v>1.7679465006501409</v>
      </c>
      <c r="W14" s="32" t="s">
        <v>159</v>
      </c>
      <c r="X14" s="35">
        <v>13</v>
      </c>
      <c r="Y14" s="34">
        <v>1</v>
      </c>
      <c r="Z14" s="36">
        <v>27</v>
      </c>
      <c r="AA14" s="34" t="s">
        <v>163</v>
      </c>
      <c r="AB14">
        <v>15.803715999999993</v>
      </c>
    </row>
    <row r="15" spans="1:28" s="8" customFormat="1" x14ac:dyDescent="0.2">
      <c r="A15" s="8" t="s">
        <v>12</v>
      </c>
      <c r="B15" s="8">
        <v>-2.4533436097096101E-4</v>
      </c>
      <c r="C15" s="8">
        <v>2.8062006251850001E-4</v>
      </c>
      <c r="D15" s="11">
        <f t="shared" si="2"/>
        <v>5.2595442348946108E-4</v>
      </c>
      <c r="E15" s="13">
        <v>1</v>
      </c>
      <c r="F15" s="13">
        <v>81.450999999999993</v>
      </c>
      <c r="G15" s="8">
        <v>1.6160160000000001</v>
      </c>
      <c r="H15" s="14">
        <f t="shared" si="3"/>
        <v>8.1014100000000006E-2</v>
      </c>
      <c r="I15">
        <v>12.396964000000009</v>
      </c>
      <c r="J15" s="15">
        <v>27</v>
      </c>
      <c r="K15" s="8">
        <v>40</v>
      </c>
      <c r="L15" s="8">
        <v>31.998000000000001</v>
      </c>
      <c r="M15" s="8">
        <v>1.2829999999999999</v>
      </c>
      <c r="N15" s="8">
        <f>L15/M15</f>
        <v>24.939984411535466</v>
      </c>
      <c r="O15" s="11">
        <f t="shared" si="4"/>
        <v>-9.8369893470136548E-3</v>
      </c>
      <c r="P15" s="16">
        <f t="shared" si="5"/>
        <v>-0.23142484072458661</v>
      </c>
      <c r="Q15" s="8">
        <f t="shared" si="1"/>
        <v>1.1251813869967982E-2</v>
      </c>
      <c r="R15" s="9">
        <f t="shared" si="6"/>
        <v>0.26470997790706668</v>
      </c>
      <c r="S15" s="16">
        <f t="shared" si="7"/>
        <v>0.49613481863165332</v>
      </c>
      <c r="T15">
        <f t="shared" si="8"/>
        <v>-1.0719134926878744</v>
      </c>
      <c r="U15" s="5">
        <f t="shared" si="9"/>
        <v>1.0719134926878744</v>
      </c>
      <c r="W15" s="32" t="s">
        <v>159</v>
      </c>
      <c r="X15" s="35">
        <v>14</v>
      </c>
      <c r="Y15" s="34">
        <v>1</v>
      </c>
      <c r="Z15" s="36">
        <v>27</v>
      </c>
      <c r="AA15" s="34" t="s">
        <v>163</v>
      </c>
      <c r="AB15">
        <v>28.342456000000016</v>
      </c>
    </row>
    <row r="16" spans="1:28" x14ac:dyDescent="0.2">
      <c r="A16" t="s">
        <v>13</v>
      </c>
      <c r="B16">
        <v>-5.8092096445794196E-4</v>
      </c>
      <c r="C16">
        <v>1.27037464295459E-4</v>
      </c>
      <c r="D16" s="1">
        <f t="shared" si="2"/>
        <v>7.0795842875340091E-4</v>
      </c>
      <c r="E16" s="6">
        <v>2</v>
      </c>
      <c r="F16" s="6">
        <v>81.305000000000007</v>
      </c>
      <c r="G16">
        <v>3.216612</v>
      </c>
      <c r="H16" s="2">
        <f t="shared" si="3"/>
        <v>8.0471292E-2</v>
      </c>
      <c r="I16">
        <v>21.339687999999988</v>
      </c>
      <c r="J16" s="7">
        <v>27</v>
      </c>
      <c r="K16">
        <v>40</v>
      </c>
      <c r="L16" s="8">
        <v>31.998000000000001</v>
      </c>
      <c r="M16" s="8">
        <v>1.2829999999999999</v>
      </c>
      <c r="N16" s="8">
        <f t="shared" ref="N16:N79" si="10">L16/M16</f>
        <v>24.939984411535466</v>
      </c>
      <c r="O16" s="1">
        <f t="shared" si="4"/>
        <v>-2.3292755715967856E-2</v>
      </c>
      <c r="P16" s="10">
        <f t="shared" si="5"/>
        <v>-0.31621049605484158</v>
      </c>
      <c r="Q16" s="8">
        <f t="shared" si="1"/>
        <v>5.0937266920143102E-3</v>
      </c>
      <c r="R16" s="9">
        <f t="shared" si="6"/>
        <v>6.9149819097851853E-2</v>
      </c>
      <c r="S16" s="10">
        <f t="shared" si="7"/>
        <v>0.38536031515269342</v>
      </c>
      <c r="T16">
        <f t="shared" si="8"/>
        <v>-0.60934143546876274</v>
      </c>
      <c r="U16" s="5">
        <f t="shared" si="9"/>
        <v>0.60934143546876274</v>
      </c>
      <c r="W16" s="32" t="s">
        <v>159</v>
      </c>
      <c r="X16" s="35">
        <v>15</v>
      </c>
      <c r="Y16" s="34">
        <v>1</v>
      </c>
      <c r="Z16" s="36">
        <v>27</v>
      </c>
      <c r="AA16" s="34" t="s">
        <v>163</v>
      </c>
      <c r="AB16">
        <v>15.472504000000008</v>
      </c>
    </row>
    <row r="17" spans="1:28" x14ac:dyDescent="0.2">
      <c r="A17" t="s">
        <v>14</v>
      </c>
      <c r="B17">
        <v>-1.17726651725748E-4</v>
      </c>
      <c r="C17">
        <v>1.1811010136049901E-4</v>
      </c>
      <c r="D17" s="1">
        <f t="shared" si="2"/>
        <v>2.3583675308624702E-4</v>
      </c>
      <c r="E17" s="6">
        <v>3</v>
      </c>
      <c r="F17" s="6">
        <v>82.116</v>
      </c>
      <c r="G17">
        <v>0.26830799999999999</v>
      </c>
      <c r="H17" s="2">
        <f t="shared" si="3"/>
        <v>8.0973892000000006E-2</v>
      </c>
      <c r="I17">
        <v>4.5898240000000019</v>
      </c>
      <c r="J17" s="7">
        <v>27</v>
      </c>
      <c r="K17">
        <v>40</v>
      </c>
      <c r="L17" s="8">
        <v>31.998000000000001</v>
      </c>
      <c r="M17" s="8">
        <v>1.2829999999999999</v>
      </c>
      <c r="N17" s="8">
        <f t="shared" si="10"/>
        <v>24.939984411535466</v>
      </c>
      <c r="O17" s="1">
        <f t="shared" si="4"/>
        <v>-4.7203979675021776E-3</v>
      </c>
      <c r="P17" s="10">
        <f t="shared" si="5"/>
        <v>-0.29979894278803432</v>
      </c>
      <c r="Q17" s="8">
        <f t="shared" si="1"/>
        <v>4.7357728622263954E-3</v>
      </c>
      <c r="R17" s="9">
        <f t="shared" si="6"/>
        <v>0.30077542341859365</v>
      </c>
      <c r="S17" s="10">
        <f t="shared" si="7"/>
        <v>0.60057436620662796</v>
      </c>
      <c r="T17">
        <f t="shared" si="8"/>
        <v>-1.0016285591628149</v>
      </c>
      <c r="U17" s="5">
        <f t="shared" si="9"/>
        <v>1.0016285591628149</v>
      </c>
      <c r="W17" s="32" t="s">
        <v>159</v>
      </c>
      <c r="X17" s="33" t="s">
        <v>160</v>
      </c>
      <c r="Y17" s="34">
        <v>1</v>
      </c>
      <c r="Z17" s="36">
        <v>27</v>
      </c>
      <c r="AA17" s="34" t="s">
        <v>164</v>
      </c>
      <c r="AB17">
        <v>37.569075999999995</v>
      </c>
    </row>
    <row r="18" spans="1:28" x14ac:dyDescent="0.2">
      <c r="A18" t="s">
        <v>15</v>
      </c>
      <c r="B18" s="1">
        <v>-3.8445867189432102E-5</v>
      </c>
      <c r="C18" s="1">
        <v>1.8661300216746699E-5</v>
      </c>
      <c r="D18" s="1">
        <f t="shared" si="2"/>
        <v>5.7107167406178798E-5</v>
      </c>
      <c r="E18" s="6">
        <v>4</v>
      </c>
      <c r="F18" s="6">
        <v>81.135000000000005</v>
      </c>
      <c r="G18">
        <v>0.81520400000000004</v>
      </c>
      <c r="H18" s="2">
        <f t="shared" si="3"/>
        <v>8.0159428000000005E-2</v>
      </c>
      <c r="I18">
        <v>8.4697359999999993</v>
      </c>
      <c r="J18" s="7">
        <v>27</v>
      </c>
      <c r="K18">
        <v>40</v>
      </c>
      <c r="L18" s="8">
        <v>31.998000000000001</v>
      </c>
      <c r="M18" s="8">
        <v>1.2829999999999999</v>
      </c>
      <c r="N18" s="8">
        <f t="shared" si="10"/>
        <v>24.939984411535466</v>
      </c>
      <c r="O18" s="1">
        <f t="shared" si="4"/>
        <v>-1.5415353335846422E-3</v>
      </c>
      <c r="P18" s="10">
        <f t="shared" si="5"/>
        <v>-5.2521935287588993E-2</v>
      </c>
      <c r="Q18" s="8">
        <f t="shared" ref="Q18:Q81" si="11">(C18*1000)/N18</f>
        <v>7.4824827108213056E-4</v>
      </c>
      <c r="R18" s="9">
        <f t="shared" si="6"/>
        <v>2.5493705150072817E-2</v>
      </c>
      <c r="S18" s="10">
        <f t="shared" si="7"/>
        <v>7.8015640437661807E-2</v>
      </c>
      <c r="T18">
        <f t="shared" si="8"/>
        <v>-0.74269578996356045</v>
      </c>
      <c r="U18" s="5">
        <f t="shared" si="9"/>
        <v>0.74269578996356045</v>
      </c>
      <c r="W18" s="32" t="s">
        <v>159</v>
      </c>
      <c r="X18" s="35">
        <v>13</v>
      </c>
      <c r="Y18" s="34">
        <v>1</v>
      </c>
      <c r="Z18" s="36">
        <v>27</v>
      </c>
      <c r="AA18" s="34" t="s">
        <v>164</v>
      </c>
      <c r="AB18">
        <v>8.1858400000000007</v>
      </c>
    </row>
    <row r="19" spans="1:28" x14ac:dyDescent="0.2">
      <c r="A19" t="s">
        <v>16</v>
      </c>
      <c r="B19">
        <v>-3.4734764662155E-4</v>
      </c>
      <c r="C19">
        <v>4.0205857136754199E-4</v>
      </c>
      <c r="D19" s="1">
        <f t="shared" si="2"/>
        <v>7.4940621798909204E-4</v>
      </c>
      <c r="E19" s="6">
        <v>5</v>
      </c>
      <c r="F19" s="6">
        <v>81.918999999999997</v>
      </c>
      <c r="G19">
        <v>2.346924</v>
      </c>
      <c r="H19" s="2">
        <f t="shared" si="3"/>
        <v>8.0391391999999992E-2</v>
      </c>
      <c r="I19">
        <v>15.661768000000007</v>
      </c>
      <c r="J19" s="7">
        <v>27</v>
      </c>
      <c r="K19">
        <v>40</v>
      </c>
      <c r="L19" s="8">
        <v>31.998000000000001</v>
      </c>
      <c r="M19" s="8">
        <v>1.2829999999999999</v>
      </c>
      <c r="N19" s="8">
        <f t="shared" si="10"/>
        <v>24.939984411535466</v>
      </c>
      <c r="O19" s="1">
        <f t="shared" si="4"/>
        <v>-1.3927340165493112E-2</v>
      </c>
      <c r="P19" s="10">
        <f t="shared" si="5"/>
        <v>-0.25735905077520005</v>
      </c>
      <c r="Q19" s="8">
        <f t="shared" si="11"/>
        <v>1.6121043410980571E-2</v>
      </c>
      <c r="R19" s="9">
        <f t="shared" si="6"/>
        <v>0.29789582077094739</v>
      </c>
      <c r="S19" s="10">
        <f t="shared" si="7"/>
        <v>0.55525487154614739</v>
      </c>
      <c r="T19">
        <f t="shared" si="8"/>
        <v>-1.0787552834719532</v>
      </c>
      <c r="U19" s="5">
        <f t="shared" si="9"/>
        <v>1.0787552834719532</v>
      </c>
      <c r="W19" s="32" t="s">
        <v>159</v>
      </c>
      <c r="X19" s="35">
        <v>14</v>
      </c>
      <c r="Y19" s="34">
        <v>1</v>
      </c>
      <c r="Z19" s="36">
        <v>27</v>
      </c>
      <c r="AA19" s="34" t="s">
        <v>164</v>
      </c>
      <c r="AB19">
        <v>19.872892000000004</v>
      </c>
    </row>
    <row r="20" spans="1:28" s="25" customFormat="1" x14ac:dyDescent="0.2">
      <c r="A20" s="25" t="s">
        <v>20</v>
      </c>
      <c r="B20" s="25">
        <v>-7.2287158766301399E-4</v>
      </c>
      <c r="C20" s="26">
        <v>4.5388046285560399E-5</v>
      </c>
      <c r="D20" s="26">
        <f t="shared" si="2"/>
        <v>7.6825963394857439E-4</v>
      </c>
      <c r="E20" s="27">
        <v>1</v>
      </c>
      <c r="F20" s="27">
        <v>81.450999999999993</v>
      </c>
      <c r="G20" s="25">
        <v>3.2124999999999999</v>
      </c>
      <c r="H20" s="28">
        <f t="shared" si="3"/>
        <v>8.1024379999999993E-2</v>
      </c>
      <c r="I20">
        <v>21.387004000000005</v>
      </c>
      <c r="J20" s="29">
        <v>27</v>
      </c>
      <c r="K20" s="25">
        <v>40</v>
      </c>
      <c r="L20" s="25">
        <v>31.998000000000001</v>
      </c>
      <c r="M20" s="25">
        <v>1.2829999999999999</v>
      </c>
      <c r="N20" s="25">
        <f t="shared" si="10"/>
        <v>24.939984411535466</v>
      </c>
      <c r="O20" s="26">
        <f t="shared" si="4"/>
        <v>-2.8984444245629314E-2</v>
      </c>
      <c r="P20" s="30">
        <f t="shared" si="5"/>
        <v>-0.39530585250407468</v>
      </c>
      <c r="Q20" s="25">
        <f t="shared" si="11"/>
        <v>1.8198907239319326E-3</v>
      </c>
      <c r="R20" s="31">
        <f t="shared" si="6"/>
        <v>2.4820674427685593E-2</v>
      </c>
      <c r="S20" s="30">
        <f t="shared" si="7"/>
        <v>0.42012652693176028</v>
      </c>
      <c r="T20" s="25">
        <f t="shared" si="8"/>
        <v>-0.53139426632626163</v>
      </c>
      <c r="U20" s="31">
        <f t="shared" si="9"/>
        <v>0.53139426632626163</v>
      </c>
      <c r="W20" s="32" t="s">
        <v>159</v>
      </c>
      <c r="X20" s="35">
        <v>15</v>
      </c>
      <c r="Y20" s="34">
        <v>1</v>
      </c>
      <c r="Z20" s="36">
        <v>27</v>
      </c>
      <c r="AA20" s="34" t="s">
        <v>164</v>
      </c>
      <c r="AB20">
        <v>14.668131999999991</v>
      </c>
    </row>
    <row r="21" spans="1:28" s="25" customFormat="1" x14ac:dyDescent="0.2">
      <c r="A21" s="25" t="s">
        <v>21</v>
      </c>
      <c r="B21" s="25">
        <v>-2.1528733597987301E-4</v>
      </c>
      <c r="C21" s="26">
        <v>-4.34525336697865E-5</v>
      </c>
      <c r="D21" s="26">
        <f t="shared" si="2"/>
        <v>1.718348023100865E-4</v>
      </c>
      <c r="E21" s="27">
        <v>2</v>
      </c>
      <c r="F21" s="27">
        <v>81.305000000000007</v>
      </c>
      <c r="G21" s="25">
        <v>0.87894000000000005</v>
      </c>
      <c r="H21" s="28">
        <f t="shared" si="3"/>
        <v>8.0685116000000001E-2</v>
      </c>
      <c r="I21">
        <v>8.3751040000000003</v>
      </c>
      <c r="J21" s="29">
        <v>27</v>
      </c>
      <c r="K21" s="25">
        <v>40</v>
      </c>
      <c r="L21" s="25">
        <v>31.998000000000001</v>
      </c>
      <c r="M21" s="25">
        <v>1.2829999999999999</v>
      </c>
      <c r="N21" s="25">
        <f t="shared" si="10"/>
        <v>24.939984411535466</v>
      </c>
      <c r="O21" s="26">
        <f t="shared" si="4"/>
        <v>-8.6322161404518115E-3</v>
      </c>
      <c r="P21" s="30">
        <f t="shared" si="5"/>
        <v>-0.29938361341733027</v>
      </c>
      <c r="Q21" s="25">
        <f t="shared" si="11"/>
        <v>-1.7422839145676628E-3</v>
      </c>
      <c r="R21" s="31">
        <f t="shared" si="6"/>
        <v>-6.0426111378028675E-2</v>
      </c>
      <c r="S21" s="30">
        <f t="shared" si="7"/>
        <v>0.23895750203930161</v>
      </c>
      <c r="T21" s="25">
        <f t="shared" si="8"/>
        <v>-0.39908246699227862</v>
      </c>
      <c r="U21" s="31">
        <f t="shared" si="9"/>
        <v>0.39908246699227862</v>
      </c>
      <c r="W21" s="32" t="s">
        <v>159</v>
      </c>
      <c r="X21" s="33" t="s">
        <v>160</v>
      </c>
      <c r="Y21" s="34">
        <v>1</v>
      </c>
      <c r="Z21" s="36">
        <v>29.5</v>
      </c>
      <c r="AA21" s="34" t="s">
        <v>163</v>
      </c>
      <c r="AB21">
        <v>19.494364000000004</v>
      </c>
    </row>
    <row r="22" spans="1:28" s="25" customFormat="1" x14ac:dyDescent="0.2">
      <c r="A22" s="25" t="s">
        <v>22</v>
      </c>
      <c r="B22" s="25">
        <v>-5.6915449102525604E-4</v>
      </c>
      <c r="C22" s="26">
        <v>3.1899956732387698E-5</v>
      </c>
      <c r="D22" s="26">
        <f t="shared" si="2"/>
        <v>6.0105444775764374E-4</v>
      </c>
      <c r="E22" s="27">
        <v>3</v>
      </c>
      <c r="F22" s="27">
        <v>82.116</v>
      </c>
      <c r="G22" s="25">
        <v>2.4517799999999998</v>
      </c>
      <c r="H22" s="28">
        <f t="shared" si="3"/>
        <v>8.1367616000000004E-2</v>
      </c>
      <c r="I22">
        <v>17.885619999999992</v>
      </c>
      <c r="J22" s="29">
        <v>27</v>
      </c>
      <c r="K22" s="25">
        <v>40</v>
      </c>
      <c r="L22" s="25">
        <v>31.998000000000001</v>
      </c>
      <c r="M22" s="25">
        <v>1.2829999999999999</v>
      </c>
      <c r="N22" s="25">
        <f t="shared" si="10"/>
        <v>24.939984411535466</v>
      </c>
      <c r="O22" s="26">
        <f t="shared" si="4"/>
        <v>-2.282096418480541E-2</v>
      </c>
      <c r="P22" s="30">
        <f t="shared" si="5"/>
        <v>-0.37375247947459478</v>
      </c>
      <c r="Q22" s="25">
        <f t="shared" si="11"/>
        <v>1.2790688320411718E-3</v>
      </c>
      <c r="R22" s="31">
        <f t="shared" si="6"/>
        <v>2.0948069657475706E-2</v>
      </c>
      <c r="S22" s="30">
        <f t="shared" si="7"/>
        <v>0.39470054913207048</v>
      </c>
      <c r="T22" s="25">
        <f t="shared" si="8"/>
        <v>-0.52802398754240187</v>
      </c>
      <c r="U22" s="31">
        <f t="shared" si="9"/>
        <v>0.52802398754240187</v>
      </c>
      <c r="W22" s="32" t="s">
        <v>159</v>
      </c>
      <c r="X22" s="35">
        <v>13</v>
      </c>
      <c r="Y22" s="34">
        <v>1</v>
      </c>
      <c r="Z22" s="36">
        <v>29.5</v>
      </c>
      <c r="AA22" s="34" t="s">
        <v>163</v>
      </c>
      <c r="AB22">
        <v>10.835536000000014</v>
      </c>
    </row>
    <row r="23" spans="1:28" s="25" customFormat="1" x14ac:dyDescent="0.2">
      <c r="A23" s="25" t="s">
        <v>23</v>
      </c>
      <c r="B23" s="25">
        <v>-2.3054637271650299E-4</v>
      </c>
      <c r="C23" s="26">
        <v>9.0579073494785603E-5</v>
      </c>
      <c r="D23" s="26">
        <f t="shared" si="2"/>
        <v>3.2112544621128858E-4</v>
      </c>
      <c r="E23" s="27">
        <v>4</v>
      </c>
      <c r="F23" s="27">
        <v>81.135000000000005</v>
      </c>
      <c r="G23" s="25">
        <v>1.1965919999999999</v>
      </c>
      <c r="H23" s="28">
        <f t="shared" si="3"/>
        <v>8.0618943999999998E-2</v>
      </c>
      <c r="I23">
        <v>11.119432000000003</v>
      </c>
      <c r="J23" s="29">
        <v>27</v>
      </c>
      <c r="K23" s="25">
        <v>40</v>
      </c>
      <c r="L23" s="25">
        <v>31.998000000000001</v>
      </c>
      <c r="M23" s="25">
        <v>1.2829999999999999</v>
      </c>
      <c r="N23" s="25">
        <f t="shared" si="10"/>
        <v>24.939984411535466</v>
      </c>
      <c r="O23" s="26">
        <f t="shared" si="4"/>
        <v>-9.2440463840012914E-3</v>
      </c>
      <c r="P23" s="30">
        <f t="shared" si="5"/>
        <v>-0.24127877466715283</v>
      </c>
      <c r="Q23" s="25">
        <f t="shared" si="11"/>
        <v>3.6318817205390932E-3</v>
      </c>
      <c r="R23" s="31">
        <f t="shared" si="6"/>
        <v>9.4795713356037689E-2</v>
      </c>
      <c r="S23" s="30">
        <f t="shared" si="7"/>
        <v>0.33607448802319051</v>
      </c>
      <c r="T23" s="25">
        <f t="shared" si="8"/>
        <v>-0.69644436914687091</v>
      </c>
      <c r="U23" s="31">
        <f t="shared" si="9"/>
        <v>0.69644436914687091</v>
      </c>
      <c r="W23" s="32" t="s">
        <v>159</v>
      </c>
      <c r="X23" s="35">
        <v>14</v>
      </c>
      <c r="Y23" s="34">
        <v>1</v>
      </c>
      <c r="Z23" s="36">
        <v>29.5</v>
      </c>
      <c r="AA23" s="34" t="s">
        <v>163</v>
      </c>
      <c r="AB23">
        <v>12.255016000000005</v>
      </c>
    </row>
    <row r="24" spans="1:28" s="25" customFormat="1" x14ac:dyDescent="0.2">
      <c r="A24" s="25" t="s">
        <v>24</v>
      </c>
      <c r="B24" s="25">
        <v>-2.5923312384043199E-4</v>
      </c>
      <c r="C24" s="26">
        <v>3.9618213425319097E-5</v>
      </c>
      <c r="D24" s="26">
        <f t="shared" si="2"/>
        <v>2.9885133726575107E-4</v>
      </c>
      <c r="E24" s="27">
        <v>5</v>
      </c>
      <c r="F24" s="27">
        <v>81.918999999999997</v>
      </c>
      <c r="G24" s="25">
        <v>1.0608960000000001</v>
      </c>
      <c r="H24" s="28">
        <f t="shared" si="3"/>
        <v>8.1523219999999993E-2</v>
      </c>
      <c r="I24">
        <v>8.6590000000000007</v>
      </c>
      <c r="J24" s="29">
        <v>27</v>
      </c>
      <c r="K24" s="25">
        <v>40</v>
      </c>
      <c r="L24" s="25">
        <v>31.998000000000001</v>
      </c>
      <c r="M24" s="25">
        <v>1.2829999999999999</v>
      </c>
      <c r="N24" s="25">
        <f t="shared" si="10"/>
        <v>24.939984411535466</v>
      </c>
      <c r="O24" s="26">
        <f t="shared" si="4"/>
        <v>-1.0394277701333653E-2</v>
      </c>
      <c r="P24" s="30">
        <f t="shared" si="5"/>
        <v>-0.35229818177998651</v>
      </c>
      <c r="Q24" s="25">
        <f t="shared" si="11"/>
        <v>1.5885420283981624E-3</v>
      </c>
      <c r="R24" s="31">
        <f t="shared" si="6"/>
        <v>5.3841208053731215E-2</v>
      </c>
      <c r="S24" s="30">
        <f t="shared" si="7"/>
        <v>0.40613938983371772</v>
      </c>
      <c r="T24" s="25">
        <f t="shared" si="8"/>
        <v>-0.5764142576349649</v>
      </c>
      <c r="U24" s="31">
        <f t="shared" si="9"/>
        <v>0.5764142576349649</v>
      </c>
      <c r="W24" s="32" t="s">
        <v>159</v>
      </c>
      <c r="X24" s="35">
        <v>15</v>
      </c>
      <c r="Y24" s="34">
        <v>1</v>
      </c>
      <c r="Z24" s="36">
        <v>29.5</v>
      </c>
      <c r="AA24" s="34" t="s">
        <v>163</v>
      </c>
      <c r="AB24">
        <v>16.418824000000008</v>
      </c>
    </row>
    <row r="25" spans="1:28" s="25" customFormat="1" x14ac:dyDescent="0.2">
      <c r="A25" s="25" t="s">
        <v>25</v>
      </c>
      <c r="B25" s="25">
        <v>-3.7724185416453099E-4</v>
      </c>
      <c r="C25" s="26">
        <v>-1.35310971315032E-5</v>
      </c>
      <c r="D25" s="26">
        <f t="shared" si="2"/>
        <v>3.6371075703302779E-4</v>
      </c>
      <c r="E25" s="27">
        <v>6</v>
      </c>
      <c r="F25" s="27">
        <v>82.186000000000007</v>
      </c>
      <c r="G25" s="25">
        <v>1.60368</v>
      </c>
      <c r="H25" s="28">
        <f t="shared" si="3"/>
        <v>8.1942364000000018E-2</v>
      </c>
      <c r="I25">
        <v>12.870123999999999</v>
      </c>
      <c r="J25" s="29">
        <v>27</v>
      </c>
      <c r="K25" s="25">
        <v>40</v>
      </c>
      <c r="L25" s="25">
        <v>31.998000000000001</v>
      </c>
      <c r="M25" s="25">
        <v>1.2829999999999999</v>
      </c>
      <c r="N25" s="25">
        <f t="shared" si="10"/>
        <v>24.939984411535466</v>
      </c>
      <c r="O25" s="26">
        <f t="shared" si="4"/>
        <v>-1.5125985964531945E-2</v>
      </c>
      <c r="P25" s="30">
        <f t="shared" si="5"/>
        <v>-0.34669849116857343</v>
      </c>
      <c r="Q25" s="25">
        <f t="shared" si="11"/>
        <v>-5.4254633476212902E-4</v>
      </c>
      <c r="R25" s="31">
        <f t="shared" si="6"/>
        <v>-1.2435552703283921E-2</v>
      </c>
      <c r="S25" s="30">
        <f t="shared" si="7"/>
        <v>0.33426293846528948</v>
      </c>
      <c r="T25" s="25">
        <f t="shared" si="8"/>
        <v>-0.48206575306778948</v>
      </c>
      <c r="U25" s="31">
        <f t="shared" si="9"/>
        <v>0.48206575306778948</v>
      </c>
      <c r="W25" s="32" t="s">
        <v>159</v>
      </c>
      <c r="X25" s="33" t="s">
        <v>160</v>
      </c>
      <c r="Y25" s="34">
        <v>1</v>
      </c>
      <c r="Z25" s="36">
        <v>29.5</v>
      </c>
      <c r="AA25" s="34" t="s">
        <v>164</v>
      </c>
      <c r="AB25">
        <v>15.898348000000002</v>
      </c>
    </row>
    <row r="26" spans="1:28" s="25" customFormat="1" x14ac:dyDescent="0.2">
      <c r="A26" s="25" t="s">
        <v>26</v>
      </c>
      <c r="B26" s="25">
        <v>-4.2128905348233698E-4</v>
      </c>
      <c r="C26" s="26">
        <v>5.3302042142057597E-5</v>
      </c>
      <c r="D26" s="26">
        <f t="shared" si="2"/>
        <v>4.7459109562439459E-4</v>
      </c>
      <c r="E26" s="27">
        <v>7</v>
      </c>
      <c r="F26" s="27">
        <v>82.891000000000005</v>
      </c>
      <c r="G26" s="25">
        <v>1.1873400000000001</v>
      </c>
      <c r="H26" s="28">
        <f t="shared" si="3"/>
        <v>8.1968884000000006E-2</v>
      </c>
      <c r="I26">
        <v>10.504324000000008</v>
      </c>
      <c r="J26" s="29">
        <v>27</v>
      </c>
      <c r="K26" s="25">
        <v>40</v>
      </c>
      <c r="L26" s="25">
        <v>31.998000000000001</v>
      </c>
      <c r="M26" s="25">
        <v>1.2829999999999999</v>
      </c>
      <c r="N26" s="25">
        <f t="shared" si="10"/>
        <v>24.939984411535466</v>
      </c>
      <c r="O26" s="26">
        <f t="shared" si="4"/>
        <v>-1.6892113745166519E-2</v>
      </c>
      <c r="P26" s="30">
        <f t="shared" si="5"/>
        <v>-0.47453408363379623</v>
      </c>
      <c r="Q26" s="25">
        <f t="shared" si="11"/>
        <v>2.1372123279036156E-3</v>
      </c>
      <c r="R26" s="31">
        <f t="shared" si="6"/>
        <v>6.003867300756191E-2</v>
      </c>
      <c r="S26" s="30">
        <f t="shared" si="7"/>
        <v>0.53457275664135817</v>
      </c>
      <c r="T26" s="25">
        <f t="shared" si="8"/>
        <v>-0.56326065405861814</v>
      </c>
      <c r="U26" s="31">
        <f t="shared" si="9"/>
        <v>0.56326065405861814</v>
      </c>
      <c r="W26" s="32" t="s">
        <v>159</v>
      </c>
      <c r="X26" s="35">
        <v>13</v>
      </c>
      <c r="Y26" s="34">
        <v>1</v>
      </c>
      <c r="Z26" s="36">
        <v>29.5</v>
      </c>
      <c r="AA26" s="34" t="s">
        <v>164</v>
      </c>
      <c r="AB26">
        <v>14.668131999999991</v>
      </c>
    </row>
    <row r="27" spans="1:28" s="25" customFormat="1" x14ac:dyDescent="0.2">
      <c r="A27" s="25" t="s">
        <v>27</v>
      </c>
      <c r="B27" s="25">
        <v>-3.1093535255356097E-4</v>
      </c>
      <c r="C27" s="26">
        <v>3.5161801936944001E-6</v>
      </c>
      <c r="D27" s="26">
        <f t="shared" si="2"/>
        <v>3.1445153274725537E-4</v>
      </c>
      <c r="E27" s="27">
        <v>8</v>
      </c>
      <c r="F27" s="27">
        <v>82.2</v>
      </c>
      <c r="G27" s="25">
        <v>1.2294879999999999</v>
      </c>
      <c r="H27" s="28">
        <f t="shared" si="3"/>
        <v>8.0552115999999993E-2</v>
      </c>
      <c r="I27">
        <v>11.308695999999992</v>
      </c>
      <c r="J27" s="29">
        <v>27</v>
      </c>
      <c r="K27" s="25">
        <v>40</v>
      </c>
      <c r="L27" s="25">
        <v>31.998000000000001</v>
      </c>
      <c r="M27" s="25">
        <v>1.2829999999999999</v>
      </c>
      <c r="N27" s="25">
        <f t="shared" si="10"/>
        <v>24.939984411535466</v>
      </c>
      <c r="O27" s="26">
        <f t="shared" si="4"/>
        <v>-1.2467343500413111E-2</v>
      </c>
      <c r="P27" s="30">
        <f t="shared" si="5"/>
        <v>-0.31969868493110476</v>
      </c>
      <c r="Q27" s="25">
        <f t="shared" si="11"/>
        <v>1.4098566124476263E-4</v>
      </c>
      <c r="R27" s="31">
        <f t="shared" si="6"/>
        <v>3.6152794292223784E-3</v>
      </c>
      <c r="S27" s="30">
        <f t="shared" si="7"/>
        <v>0.32331396436032711</v>
      </c>
      <c r="T27" s="25">
        <f t="shared" si="8"/>
        <v>-0.5056541981553685</v>
      </c>
      <c r="U27" s="31">
        <f t="shared" si="9"/>
        <v>0.5056541981553685</v>
      </c>
      <c r="W27" s="32" t="s">
        <v>159</v>
      </c>
      <c r="X27" s="35">
        <v>14</v>
      </c>
      <c r="Y27" s="34">
        <v>1</v>
      </c>
      <c r="Z27" s="36">
        <v>29.5</v>
      </c>
      <c r="AA27" s="34" t="s">
        <v>164</v>
      </c>
      <c r="AB27">
        <v>26.165920000000003</v>
      </c>
    </row>
    <row r="28" spans="1:28" s="25" customFormat="1" x14ac:dyDescent="0.2">
      <c r="A28" s="25" t="s">
        <v>28</v>
      </c>
      <c r="B28" s="25">
        <v>-3.1030771131120997E-4</v>
      </c>
      <c r="C28" s="26">
        <v>3.9452010187415298E-5</v>
      </c>
      <c r="D28" s="26">
        <f t="shared" si="2"/>
        <v>3.4975972149862527E-4</v>
      </c>
      <c r="E28" s="27">
        <v>1</v>
      </c>
      <c r="F28" s="27">
        <v>81.450999999999993</v>
      </c>
      <c r="G28" s="25">
        <v>1.09996</v>
      </c>
      <c r="H28" s="28">
        <f t="shared" si="3"/>
        <v>8.1161103999999998E-2</v>
      </c>
      <c r="I28">
        <v>8.8482640000000004</v>
      </c>
      <c r="J28" s="29">
        <v>29.5</v>
      </c>
      <c r="K28" s="25">
        <v>40</v>
      </c>
      <c r="L28" s="25">
        <v>31.998000000000001</v>
      </c>
      <c r="M28" s="25">
        <v>1.272</v>
      </c>
      <c r="N28" s="25">
        <f t="shared" si="10"/>
        <v>25.15566037735849</v>
      </c>
      <c r="O28" s="26">
        <f t="shared" si="4"/>
        <v>-1.2335502493526442E-2</v>
      </c>
      <c r="P28" s="30">
        <f t="shared" si="5"/>
        <v>-0.4073326477114258</v>
      </c>
      <c r="Q28" s="25">
        <f t="shared" si="11"/>
        <v>1.5683154246637998E-3</v>
      </c>
      <c r="R28" s="31">
        <f t="shared" si="6"/>
        <v>5.178760044110281E-2</v>
      </c>
      <c r="S28" s="30">
        <f t="shared" si="7"/>
        <v>0.45912024815252861</v>
      </c>
      <c r="T28" s="25">
        <f t="shared" si="8"/>
        <v>-0.56356917464395295</v>
      </c>
      <c r="U28" s="31">
        <f t="shared" si="9"/>
        <v>0.56356917464395295</v>
      </c>
      <c r="W28" s="32" t="s">
        <v>159</v>
      </c>
      <c r="X28" s="35">
        <v>15</v>
      </c>
      <c r="Y28" s="34">
        <v>1</v>
      </c>
      <c r="Z28" s="36">
        <v>29.5</v>
      </c>
      <c r="AA28" s="34" t="s">
        <v>164</v>
      </c>
      <c r="AB28">
        <v>19.825575999999987</v>
      </c>
    </row>
    <row r="29" spans="1:28" s="25" customFormat="1" x14ac:dyDescent="0.2">
      <c r="A29" s="25" t="s">
        <v>29</v>
      </c>
      <c r="B29" s="25">
        <v>-2.91388661266386E-4</v>
      </c>
      <c r="C29" s="26">
        <v>1.6111443635758801E-5</v>
      </c>
      <c r="D29" s="26">
        <f t="shared" si="2"/>
        <v>3.075001049021448E-4</v>
      </c>
      <c r="E29" s="27">
        <v>2</v>
      </c>
      <c r="F29" s="27">
        <v>81.305000000000007</v>
      </c>
      <c r="G29" s="25">
        <v>1.3107</v>
      </c>
      <c r="H29" s="28">
        <f t="shared" si="3"/>
        <v>8.0922584000000006E-2</v>
      </c>
      <c r="I29">
        <v>10.930167999999993</v>
      </c>
      <c r="J29" s="29">
        <v>29.5</v>
      </c>
      <c r="K29" s="25">
        <v>40</v>
      </c>
      <c r="L29" s="25">
        <v>31.998000000000001</v>
      </c>
      <c r="M29" s="25">
        <v>1.272</v>
      </c>
      <c r="N29" s="25">
        <f t="shared" si="10"/>
        <v>25.15566037735849</v>
      </c>
      <c r="O29" s="26">
        <f t="shared" si="4"/>
        <v>-1.1583423249291925E-2</v>
      </c>
      <c r="P29" s="30">
        <f t="shared" si="5"/>
        <v>-0.30873248674989862</v>
      </c>
      <c r="Q29" s="25">
        <f t="shared" si="11"/>
        <v>6.4046991389103052E-4</v>
      </c>
      <c r="R29" s="31">
        <f t="shared" si="6"/>
        <v>1.7070417349737989E-2</v>
      </c>
      <c r="S29" s="30">
        <f t="shared" si="7"/>
        <v>0.32580290409963658</v>
      </c>
      <c r="T29" s="25">
        <f t="shared" si="8"/>
        <v>-0.52764596873079728</v>
      </c>
      <c r="U29" s="31">
        <f t="shared" si="9"/>
        <v>0.52764596873079728</v>
      </c>
      <c r="W29" s="32" t="s">
        <v>159</v>
      </c>
      <c r="X29" s="33" t="s">
        <v>160</v>
      </c>
      <c r="Y29" s="34">
        <v>1</v>
      </c>
      <c r="Z29" s="36">
        <v>32</v>
      </c>
      <c r="AA29" s="34" t="s">
        <v>163</v>
      </c>
      <c r="AB29">
        <v>20.062155999999984</v>
      </c>
    </row>
    <row r="30" spans="1:28" s="25" customFormat="1" x14ac:dyDescent="0.2">
      <c r="A30" s="25" t="s">
        <v>30</v>
      </c>
      <c r="B30" s="25">
        <v>-1.8165872322651699E-4</v>
      </c>
      <c r="C30" s="26">
        <v>6.1759257571915596E-6</v>
      </c>
      <c r="D30" s="26">
        <f t="shared" si="2"/>
        <v>1.8783464898370855E-4</v>
      </c>
      <c r="E30" s="27">
        <v>3</v>
      </c>
      <c r="F30" s="27">
        <v>82.116</v>
      </c>
      <c r="G30" s="25">
        <v>0.36596800000000002</v>
      </c>
      <c r="H30" s="28">
        <f t="shared" si="3"/>
        <v>8.1375839999999991E-2</v>
      </c>
      <c r="I30">
        <v>5.1576160000000026</v>
      </c>
      <c r="J30" s="29">
        <v>29.5</v>
      </c>
      <c r="K30" s="25">
        <v>40</v>
      </c>
      <c r="L30" s="25">
        <v>31.998000000000001</v>
      </c>
      <c r="M30" s="25">
        <v>1.272</v>
      </c>
      <c r="N30" s="25">
        <f t="shared" si="10"/>
        <v>25.15566037735849</v>
      </c>
      <c r="O30" s="26">
        <f t="shared" si="4"/>
        <v>-7.2213855848531038E-3</v>
      </c>
      <c r="P30" s="30">
        <f t="shared" si="5"/>
        <v>-0.41017531056067835</v>
      </c>
      <c r="Q30" s="25">
        <f t="shared" si="11"/>
        <v>2.4550839312293467E-4</v>
      </c>
      <c r="R30" s="31">
        <f t="shared" si="6"/>
        <v>1.3944897445398121E-2</v>
      </c>
      <c r="S30" s="30">
        <f t="shared" si="7"/>
        <v>0.42412020800607647</v>
      </c>
      <c r="T30" s="25">
        <f t="shared" si="8"/>
        <v>-0.51699870407404147</v>
      </c>
      <c r="U30" s="31">
        <f t="shared" si="9"/>
        <v>0.51699870407404147</v>
      </c>
      <c r="W30" s="32" t="s">
        <v>159</v>
      </c>
      <c r="X30" s="35">
        <v>13</v>
      </c>
      <c r="Y30" s="34">
        <v>1</v>
      </c>
      <c r="Z30" s="36">
        <v>32</v>
      </c>
      <c r="AA30" s="34" t="s">
        <v>163</v>
      </c>
      <c r="AB30">
        <v>6.3405160000000027</v>
      </c>
    </row>
    <row r="31" spans="1:28" s="25" customFormat="1" x14ac:dyDescent="0.2">
      <c r="A31" s="25" t="s">
        <v>31</v>
      </c>
      <c r="B31" s="25">
        <v>-2.1731797788783301E-4</v>
      </c>
      <c r="C31" s="26">
        <v>7.2839990451547802E-5</v>
      </c>
      <c r="D31" s="26">
        <f t="shared" si="2"/>
        <v>2.9015796833938083E-4</v>
      </c>
      <c r="E31" s="27">
        <v>4</v>
      </c>
      <c r="F31" s="27">
        <v>81.135000000000005</v>
      </c>
      <c r="G31" s="25">
        <v>0.82034400000000007</v>
      </c>
      <c r="H31" s="28">
        <f t="shared" si="3"/>
        <v>8.0027844000000001E-2</v>
      </c>
      <c r="I31">
        <v>8.1385240000000056</v>
      </c>
      <c r="J31" s="29">
        <v>29.5</v>
      </c>
      <c r="K31" s="25">
        <v>40</v>
      </c>
      <c r="L31" s="25">
        <v>31.998000000000001</v>
      </c>
      <c r="M31" s="25">
        <v>1.272</v>
      </c>
      <c r="N31" s="25">
        <f t="shared" si="10"/>
        <v>25.15566037735849</v>
      </c>
      <c r="O31" s="26">
        <f t="shared" si="4"/>
        <v>-8.6389295541384973E-3</v>
      </c>
      <c r="P31" s="30">
        <f t="shared" si="5"/>
        <v>-0.30581437912674397</v>
      </c>
      <c r="Q31" s="25">
        <f t="shared" si="11"/>
        <v>2.8955705936111261E-3</v>
      </c>
      <c r="R31" s="31">
        <f t="shared" si="6"/>
        <v>0.10250194977902558</v>
      </c>
      <c r="S31" s="30">
        <f t="shared" si="7"/>
        <v>0.40831632890576952</v>
      </c>
      <c r="T31" s="25">
        <f t="shared" si="8"/>
        <v>-0.66758850592918639</v>
      </c>
      <c r="U31" s="31">
        <f t="shared" si="9"/>
        <v>0.66758850592918639</v>
      </c>
      <c r="W31" s="32" t="s">
        <v>159</v>
      </c>
      <c r="X31" s="35">
        <v>14</v>
      </c>
      <c r="Y31" s="34">
        <v>1</v>
      </c>
      <c r="Z31" s="36">
        <v>32</v>
      </c>
      <c r="AA31" s="34" t="s">
        <v>163</v>
      </c>
      <c r="AB31">
        <v>17.033932000000004</v>
      </c>
    </row>
    <row r="32" spans="1:28" s="25" customFormat="1" x14ac:dyDescent="0.2">
      <c r="A32" s="25" t="s">
        <v>32</v>
      </c>
      <c r="B32" s="25">
        <v>-5.5102089189213604E-4</v>
      </c>
      <c r="C32" s="25">
        <v>1.66286052898132E-4</v>
      </c>
      <c r="D32" s="26">
        <f t="shared" si="2"/>
        <v>7.1730694479026807E-4</v>
      </c>
      <c r="E32" s="27">
        <v>5</v>
      </c>
      <c r="F32" s="27">
        <v>81.918999999999997</v>
      </c>
      <c r="G32" s="25">
        <v>2.448696</v>
      </c>
      <c r="H32" s="28">
        <f t="shared" si="3"/>
        <v>7.9863000000000003E-2</v>
      </c>
      <c r="I32">
        <v>16.844667999999981</v>
      </c>
      <c r="J32" s="29">
        <v>29.5</v>
      </c>
      <c r="K32" s="25">
        <v>40</v>
      </c>
      <c r="L32" s="25">
        <v>31.998000000000001</v>
      </c>
      <c r="M32" s="25">
        <v>1.272</v>
      </c>
      <c r="N32" s="25">
        <f t="shared" si="10"/>
        <v>25.15566037735849</v>
      </c>
      <c r="O32" s="26">
        <f t="shared" si="4"/>
        <v>-2.1904449480804954E-2</v>
      </c>
      <c r="P32" s="30">
        <f t="shared" si="5"/>
        <v>-0.37386775304730863</v>
      </c>
      <c r="Q32" s="25">
        <f t="shared" si="11"/>
        <v>6.6102837454348369E-3</v>
      </c>
      <c r="R32" s="31">
        <f t="shared" si="6"/>
        <v>0.11282511039944432</v>
      </c>
      <c r="S32" s="30">
        <f t="shared" si="7"/>
        <v>0.48669286344675294</v>
      </c>
      <c r="T32" s="25">
        <f t="shared" si="8"/>
        <v>-0.65088906368606714</v>
      </c>
      <c r="U32" s="31">
        <f t="shared" si="9"/>
        <v>0.65088906368606714</v>
      </c>
      <c r="W32" s="32" t="s">
        <v>159</v>
      </c>
      <c r="X32" s="35">
        <v>15</v>
      </c>
      <c r="Y32" s="34">
        <v>1</v>
      </c>
      <c r="Z32" s="36">
        <v>32</v>
      </c>
      <c r="AA32" s="34" t="s">
        <v>163</v>
      </c>
      <c r="AB32">
        <v>7.6180479999999999</v>
      </c>
    </row>
    <row r="33" spans="1:28" s="25" customFormat="1" x14ac:dyDescent="0.2">
      <c r="A33" s="25" t="s">
        <v>33</v>
      </c>
      <c r="B33" s="25">
        <v>-1.6386289222287799E-4</v>
      </c>
      <c r="C33" s="26">
        <v>1.6152647666615601E-5</v>
      </c>
      <c r="D33" s="26">
        <f t="shared" si="2"/>
        <v>1.8001553988949358E-4</v>
      </c>
      <c r="E33" s="27">
        <v>6</v>
      </c>
      <c r="F33" s="27">
        <v>82.186000000000007</v>
      </c>
      <c r="G33" s="25">
        <v>0.43690000000000001</v>
      </c>
      <c r="H33" s="28">
        <f t="shared" si="3"/>
        <v>7.9367224000000014E-2</v>
      </c>
      <c r="I33">
        <v>6.1512519999999977</v>
      </c>
      <c r="J33" s="29">
        <v>29.5</v>
      </c>
      <c r="K33" s="25">
        <v>40</v>
      </c>
      <c r="L33" s="25">
        <v>31.998000000000001</v>
      </c>
      <c r="M33" s="25">
        <v>1.272</v>
      </c>
      <c r="N33" s="25">
        <f t="shared" si="10"/>
        <v>25.15566037735849</v>
      </c>
      <c r="O33" s="26">
        <f t="shared" si="4"/>
        <v>-6.5139570881774106E-3</v>
      </c>
      <c r="P33" s="30">
        <f t="shared" si="5"/>
        <v>-0.30256944258462382</v>
      </c>
      <c r="Q33" s="25">
        <f t="shared" si="11"/>
        <v>6.4210787649025087E-4</v>
      </c>
      <c r="R33" s="31">
        <f t="shared" si="6"/>
        <v>2.9825529956509337E-2</v>
      </c>
      <c r="S33" s="30">
        <f t="shared" si="7"/>
        <v>0.33239497254113315</v>
      </c>
      <c r="T33" s="25">
        <f t="shared" si="8"/>
        <v>-0.54928708216819944</v>
      </c>
      <c r="U33" s="31">
        <f t="shared" si="9"/>
        <v>0.54928708216819944</v>
      </c>
      <c r="W33" s="32" t="s">
        <v>159</v>
      </c>
      <c r="X33" s="33" t="s">
        <v>160</v>
      </c>
      <c r="Y33" s="34">
        <v>1</v>
      </c>
      <c r="Z33" s="36">
        <v>32</v>
      </c>
      <c r="AA33" s="34" t="s">
        <v>164</v>
      </c>
      <c r="AB33">
        <v>11.356012000000019</v>
      </c>
    </row>
    <row r="34" spans="1:28" s="25" customFormat="1" x14ac:dyDescent="0.2">
      <c r="A34" s="25" t="s">
        <v>34</v>
      </c>
      <c r="B34" s="25">
        <v>-3.1481382250733302E-4</v>
      </c>
      <c r="C34" s="26">
        <v>8.1045463041122508E-6</v>
      </c>
      <c r="D34" s="26">
        <f t="shared" si="2"/>
        <v>3.2291836881144525E-4</v>
      </c>
      <c r="E34" s="27">
        <v>7</v>
      </c>
      <c r="F34" s="27">
        <v>82.891000000000005</v>
      </c>
      <c r="G34" s="25">
        <v>0.83370800000000012</v>
      </c>
      <c r="H34" s="28">
        <f t="shared" si="3"/>
        <v>7.9703172000000003E-2</v>
      </c>
      <c r="I34">
        <v>8.990212000000005</v>
      </c>
      <c r="J34" s="29">
        <v>29.5</v>
      </c>
      <c r="K34" s="25">
        <v>40</v>
      </c>
      <c r="L34" s="25">
        <v>31.998000000000001</v>
      </c>
      <c r="M34" s="25">
        <v>1.272</v>
      </c>
      <c r="N34" s="25">
        <f t="shared" si="10"/>
        <v>25.15566037735849</v>
      </c>
      <c r="O34" s="26">
        <f t="shared" si="4"/>
        <v>-1.251463160914206E-2</v>
      </c>
      <c r="P34" s="30">
        <f t="shared" si="5"/>
        <v>-0.39941672213917861</v>
      </c>
      <c r="Q34" s="25">
        <f t="shared" si="11"/>
        <v>3.2217585157918571E-4</v>
      </c>
      <c r="R34" s="31">
        <f t="shared" si="6"/>
        <v>1.0282557777901597E-2</v>
      </c>
      <c r="S34" s="30">
        <f t="shared" si="7"/>
        <v>0.40969927991708022</v>
      </c>
      <c r="T34" s="25">
        <f t="shared" si="8"/>
        <v>-0.51287196705589932</v>
      </c>
      <c r="U34" s="31">
        <f t="shared" si="9"/>
        <v>0.51287196705589932</v>
      </c>
      <c r="W34" s="32" t="s">
        <v>159</v>
      </c>
      <c r="X34" s="35">
        <v>13</v>
      </c>
      <c r="Y34" s="34">
        <v>1</v>
      </c>
      <c r="Z34" s="36">
        <v>32</v>
      </c>
      <c r="AA34" s="34" t="s">
        <v>164</v>
      </c>
      <c r="AB34">
        <v>18.784623999999976</v>
      </c>
    </row>
    <row r="35" spans="1:28" s="25" customFormat="1" x14ac:dyDescent="0.2">
      <c r="A35" s="25" t="s">
        <v>35</v>
      </c>
      <c r="B35" s="25">
        <v>-2.7383808892850198E-4</v>
      </c>
      <c r="C35" s="26">
        <v>6.0801522689315301E-5</v>
      </c>
      <c r="D35" s="26">
        <f t="shared" si="2"/>
        <v>3.3463961161781728E-4</v>
      </c>
      <c r="E35" s="27">
        <v>8</v>
      </c>
      <c r="F35" s="27">
        <v>82.2</v>
      </c>
      <c r="G35" s="25">
        <v>1.1421080000000001</v>
      </c>
      <c r="H35" s="28">
        <f t="shared" si="3"/>
        <v>8.0747436000000006E-2</v>
      </c>
      <c r="I35">
        <v>10.125795999999996</v>
      </c>
      <c r="J35" s="29">
        <v>29.5</v>
      </c>
      <c r="K35" s="25">
        <v>40</v>
      </c>
      <c r="L35" s="25">
        <v>31.998000000000001</v>
      </c>
      <c r="M35" s="25">
        <v>1.272</v>
      </c>
      <c r="N35" s="25">
        <f t="shared" si="10"/>
        <v>25.15566037735849</v>
      </c>
      <c r="O35" s="26">
        <f t="shared" si="4"/>
        <v>-1.0885744393932575E-2</v>
      </c>
      <c r="P35" s="30">
        <f t="shared" si="5"/>
        <v>-0.31250732441589257</v>
      </c>
      <c r="Q35" s="25">
        <f t="shared" si="11"/>
        <v>2.4170115901246663E-3</v>
      </c>
      <c r="R35" s="31">
        <f t="shared" si="6"/>
        <v>6.9387429814452062E-2</v>
      </c>
      <c r="S35" s="30">
        <f t="shared" si="7"/>
        <v>0.38189475423034464</v>
      </c>
      <c r="T35" s="25">
        <f t="shared" si="8"/>
        <v>-0.61101728566545455</v>
      </c>
      <c r="U35" s="31">
        <f t="shared" si="9"/>
        <v>0.61101728566545455</v>
      </c>
      <c r="W35" s="32" t="s">
        <v>159</v>
      </c>
      <c r="X35" s="35">
        <v>14</v>
      </c>
      <c r="Y35" s="34">
        <v>1</v>
      </c>
      <c r="Z35" s="36">
        <v>32</v>
      </c>
      <c r="AA35" s="34" t="s">
        <v>164</v>
      </c>
      <c r="AB35">
        <v>9.9365319999999961</v>
      </c>
    </row>
    <row r="36" spans="1:28" s="25" customFormat="1" x14ac:dyDescent="0.2">
      <c r="A36" s="25" t="s">
        <v>36</v>
      </c>
      <c r="B36" s="25">
        <v>-1.85050174385336E-4</v>
      </c>
      <c r="C36" s="26">
        <v>-2.5194684212985199E-5</v>
      </c>
      <c r="D36" s="26">
        <f t="shared" si="2"/>
        <v>1.598554901723508E-4</v>
      </c>
      <c r="E36" s="27">
        <v>1</v>
      </c>
      <c r="F36" s="27">
        <v>81.450999999999993</v>
      </c>
      <c r="G36" s="25">
        <v>0.97557199999999999</v>
      </c>
      <c r="H36" s="28">
        <f t="shared" si="3"/>
        <v>7.9920307999999995E-2</v>
      </c>
      <c r="I36">
        <v>8.4697359999999993</v>
      </c>
      <c r="J36" s="29">
        <v>32</v>
      </c>
      <c r="K36" s="25">
        <v>40</v>
      </c>
      <c r="L36" s="25">
        <v>31.998000000000001</v>
      </c>
      <c r="M36" s="25">
        <v>1.2609999999999999</v>
      </c>
      <c r="N36" s="25">
        <f t="shared" si="10"/>
        <v>25.375099127676449</v>
      </c>
      <c r="O36" s="26">
        <f t="shared" si="4"/>
        <v>-7.2925892211984705E-3</v>
      </c>
      <c r="P36" s="30">
        <f t="shared" si="5"/>
        <v>-0.24772596407165262</v>
      </c>
      <c r="Q36" s="25">
        <f t="shared" si="11"/>
        <v>-9.9289008039797275E-4</v>
      </c>
      <c r="R36" s="31">
        <f t="shared" si="6"/>
        <v>-3.3728027854467095E-2</v>
      </c>
      <c r="S36" s="30">
        <f t="shared" si="7"/>
        <v>0.21399793621718552</v>
      </c>
      <c r="T36" s="25">
        <f t="shared" si="8"/>
        <v>-0.43192472177702057</v>
      </c>
      <c r="U36" s="31">
        <f t="shared" si="9"/>
        <v>0.43192472177702057</v>
      </c>
      <c r="W36" s="32" t="s">
        <v>159</v>
      </c>
      <c r="X36" s="35">
        <v>15</v>
      </c>
      <c r="Y36" s="34">
        <v>1</v>
      </c>
      <c r="Z36" s="36">
        <v>32</v>
      </c>
      <c r="AA36" s="34" t="s">
        <v>164</v>
      </c>
      <c r="AB36">
        <v>26.165920000000003</v>
      </c>
    </row>
    <row r="37" spans="1:28" s="25" customFormat="1" x14ac:dyDescent="0.2">
      <c r="A37" s="25" t="s">
        <v>37</v>
      </c>
      <c r="B37" s="25">
        <v>-2.3034804291934401E-4</v>
      </c>
      <c r="C37" s="25">
        <v>-1.3687245215649501E-4</v>
      </c>
      <c r="D37" s="26">
        <f t="shared" si="2"/>
        <v>9.3475590762848995E-5</v>
      </c>
      <c r="E37" s="27">
        <v>2</v>
      </c>
      <c r="F37" s="27">
        <v>81.305000000000007</v>
      </c>
      <c r="G37" s="25">
        <v>1.5276080000000001</v>
      </c>
      <c r="H37" s="28">
        <f t="shared" si="3"/>
        <v>8.0280084000000002E-2</v>
      </c>
      <c r="I37">
        <v>11.781855999999992</v>
      </c>
      <c r="J37" s="29">
        <v>32</v>
      </c>
      <c r="K37" s="25">
        <v>40</v>
      </c>
      <c r="L37" s="25">
        <v>31.998000000000001</v>
      </c>
      <c r="M37" s="25">
        <v>1.2609999999999999</v>
      </c>
      <c r="N37" s="25">
        <f t="shared" si="10"/>
        <v>25.375099127676449</v>
      </c>
      <c r="O37" s="26">
        <f t="shared" si="4"/>
        <v>-9.0777199237856362E-3</v>
      </c>
      <c r="P37" s="30">
        <f t="shared" si="5"/>
        <v>-0.22267598796284266</v>
      </c>
      <c r="Q37" s="25">
        <f t="shared" si="11"/>
        <v>-5.3939671907413025E-3</v>
      </c>
      <c r="R37" s="31">
        <f t="shared" si="6"/>
        <v>-0.13231372892330731</v>
      </c>
      <c r="S37" s="30">
        <f t="shared" si="7"/>
        <v>9.0362259039535348E-2</v>
      </c>
      <c r="T37" s="25">
        <f t="shared" si="8"/>
        <v>-0.20290077045625113</v>
      </c>
      <c r="U37" s="31">
        <f t="shared" si="9"/>
        <v>0.20290077045625113</v>
      </c>
      <c r="W37" s="32" t="s">
        <v>159</v>
      </c>
      <c r="X37" s="33" t="s">
        <v>160</v>
      </c>
      <c r="Y37" s="34">
        <v>1</v>
      </c>
      <c r="Z37" s="36">
        <v>34.5</v>
      </c>
      <c r="AA37" s="34" t="s">
        <v>163</v>
      </c>
      <c r="AB37">
        <v>28.058560000000007</v>
      </c>
    </row>
    <row r="38" spans="1:28" s="25" customFormat="1" x14ac:dyDescent="0.2">
      <c r="A38" s="25" t="s">
        <v>38</v>
      </c>
      <c r="B38" s="25">
        <v>-1.09396493952216E-4</v>
      </c>
      <c r="C38" s="26">
        <v>-4.3517661240162401E-5</v>
      </c>
      <c r="D38" s="26">
        <f t="shared" si="2"/>
        <v>6.587883271205359E-5</v>
      </c>
      <c r="E38" s="27">
        <v>3</v>
      </c>
      <c r="F38" s="27">
        <v>82.116</v>
      </c>
      <c r="G38" s="25">
        <v>0.42662</v>
      </c>
      <c r="H38" s="28">
        <f t="shared" si="3"/>
        <v>7.9195452E-2</v>
      </c>
      <c r="I38">
        <v>5.2995640000000019</v>
      </c>
      <c r="J38" s="29">
        <v>32</v>
      </c>
      <c r="K38" s="25">
        <v>40</v>
      </c>
      <c r="L38" s="25">
        <v>31.998000000000001</v>
      </c>
      <c r="M38" s="25">
        <v>1.2609999999999999</v>
      </c>
      <c r="N38" s="25">
        <f t="shared" si="10"/>
        <v>25.375099127676449</v>
      </c>
      <c r="O38" s="26">
        <f t="shared" si="4"/>
        <v>-4.311175038244402E-3</v>
      </c>
      <c r="P38" s="30">
        <f t="shared" si="5"/>
        <v>-0.23193070994096443</v>
      </c>
      <c r="Q38" s="25">
        <f t="shared" si="11"/>
        <v>-1.7149750241841611E-3</v>
      </c>
      <c r="R38" s="31">
        <f t="shared" si="6"/>
        <v>-9.226147659549197E-2</v>
      </c>
      <c r="S38" s="30">
        <f t="shared" si="7"/>
        <v>0.13966923334547246</v>
      </c>
      <c r="T38" s="25">
        <f t="shared" si="8"/>
        <v>-0.30110120686696434</v>
      </c>
      <c r="U38" s="31">
        <f t="shared" si="9"/>
        <v>0.30110120686696434</v>
      </c>
      <c r="W38" s="32" t="s">
        <v>159</v>
      </c>
      <c r="X38" s="35">
        <v>13</v>
      </c>
      <c r="Y38" s="34">
        <v>1</v>
      </c>
      <c r="Z38" s="36">
        <v>34.5</v>
      </c>
      <c r="AA38" s="34" t="s">
        <v>163</v>
      </c>
      <c r="AB38">
        <v>4.8737199999999969</v>
      </c>
    </row>
    <row r="39" spans="1:28" s="25" customFormat="1" x14ac:dyDescent="0.2">
      <c r="A39" s="25" t="s">
        <v>39</v>
      </c>
      <c r="B39" s="26">
        <v>-8.5621381683820603E-5</v>
      </c>
      <c r="C39" s="26">
        <v>-3.4659751536742101E-5</v>
      </c>
      <c r="D39" s="26">
        <f t="shared" si="2"/>
        <v>5.0961630147078502E-5</v>
      </c>
      <c r="E39" s="27">
        <v>4</v>
      </c>
      <c r="F39" s="27">
        <v>81.135000000000005</v>
      </c>
      <c r="G39" s="25">
        <v>0.61988399999999999</v>
      </c>
      <c r="H39" s="28">
        <f t="shared" si="3"/>
        <v>8.0649784000000016E-2</v>
      </c>
      <c r="I39">
        <v>6.1039360000000027</v>
      </c>
      <c r="J39" s="29">
        <v>32</v>
      </c>
      <c r="K39" s="25">
        <v>40</v>
      </c>
      <c r="L39" s="25">
        <v>31.998000000000001</v>
      </c>
      <c r="M39" s="25">
        <v>1.2609999999999999</v>
      </c>
      <c r="N39" s="25">
        <f t="shared" si="10"/>
        <v>25.375099127676449</v>
      </c>
      <c r="O39" s="26">
        <f t="shared" si="4"/>
        <v>-3.3742284612568842E-3</v>
      </c>
      <c r="P39" s="30">
        <f t="shared" si="5"/>
        <v>-0.16049822076136971</v>
      </c>
      <c r="Q39" s="25">
        <f t="shared" si="11"/>
        <v>-1.3658962025073999E-3</v>
      </c>
      <c r="R39" s="31">
        <f t="shared" si="6"/>
        <v>-6.4970085091834398E-2</v>
      </c>
      <c r="S39" s="30">
        <f t="shared" si="7"/>
        <v>9.5528135669535316E-2</v>
      </c>
      <c r="T39" s="25">
        <f t="shared" si="8"/>
        <v>-0.29759873728309877</v>
      </c>
      <c r="U39" s="31">
        <f t="shared" si="9"/>
        <v>0.29759873728309877</v>
      </c>
      <c r="W39" s="32" t="s">
        <v>159</v>
      </c>
      <c r="X39" s="35">
        <v>14</v>
      </c>
      <c r="Y39" s="34">
        <v>1</v>
      </c>
      <c r="Z39" s="36">
        <v>34.5</v>
      </c>
      <c r="AA39" s="34" t="s">
        <v>163</v>
      </c>
      <c r="AB39">
        <v>15.803716000000012</v>
      </c>
    </row>
    <row r="40" spans="1:28" s="25" customFormat="1" x14ac:dyDescent="0.2">
      <c r="A40" s="25" t="s">
        <v>40</v>
      </c>
      <c r="B40" s="25">
        <v>-1.0317385858931301E-4</v>
      </c>
      <c r="C40" s="26">
        <v>4.3250305824834398E-5</v>
      </c>
      <c r="D40" s="26">
        <f t="shared" si="2"/>
        <v>1.464241644141474E-4</v>
      </c>
      <c r="E40" s="27">
        <v>5</v>
      </c>
      <c r="F40" s="27">
        <v>81.918999999999997</v>
      </c>
      <c r="G40" s="25">
        <v>0.74838400000000005</v>
      </c>
      <c r="H40" s="28">
        <f t="shared" si="3"/>
        <v>8.0950623999999985E-2</v>
      </c>
      <c r="I40">
        <v>6.4351480000000034</v>
      </c>
      <c r="J40" s="29">
        <v>32</v>
      </c>
      <c r="K40" s="25">
        <v>40</v>
      </c>
      <c r="L40" s="25">
        <v>31.998000000000001</v>
      </c>
      <c r="M40" s="25">
        <v>1.2609999999999999</v>
      </c>
      <c r="N40" s="25">
        <f t="shared" si="10"/>
        <v>25.375099127676449</v>
      </c>
      <c r="O40" s="26">
        <f t="shared" si="4"/>
        <v>-4.0659489868467933E-3</v>
      </c>
      <c r="P40" s="30">
        <f t="shared" si="5"/>
        <v>-0.18413065052966859</v>
      </c>
      <c r="Q40" s="25">
        <f t="shared" si="11"/>
        <v>1.7044388913405892E-3</v>
      </c>
      <c r="R40" s="31">
        <f t="shared" si="6"/>
        <v>7.7187255144092998E-2</v>
      </c>
      <c r="S40" s="30">
        <f t="shared" si="7"/>
        <v>0.26131790567376156</v>
      </c>
      <c r="T40" s="25">
        <f t="shared" si="8"/>
        <v>-0.7095991485449511</v>
      </c>
      <c r="U40" s="31">
        <f t="shared" si="9"/>
        <v>0.7095991485449511</v>
      </c>
      <c r="W40" s="32" t="s">
        <v>159</v>
      </c>
      <c r="X40" s="35">
        <v>15</v>
      </c>
      <c r="Y40" s="34">
        <v>1</v>
      </c>
      <c r="Z40" s="36">
        <v>34.5</v>
      </c>
      <c r="AA40" s="34" t="s">
        <v>163</v>
      </c>
      <c r="AB40">
        <v>5.9146719999999977</v>
      </c>
    </row>
    <row r="41" spans="1:28" s="25" customFormat="1" x14ac:dyDescent="0.2">
      <c r="A41" s="25" t="s">
        <v>41</v>
      </c>
      <c r="B41" s="26">
        <v>-6.1791549938246693E-5</v>
      </c>
      <c r="C41" s="26">
        <v>-1.6227250233319199E-5</v>
      </c>
      <c r="D41" s="26">
        <f t="shared" si="2"/>
        <v>4.5564299704927494E-5</v>
      </c>
      <c r="E41" s="27">
        <v>6</v>
      </c>
      <c r="F41" s="27">
        <v>82.186000000000007</v>
      </c>
      <c r="G41" s="25">
        <v>0.51605599999999996</v>
      </c>
      <c r="H41" s="28">
        <f t="shared" si="3"/>
        <v>8.1394439999999998E-2</v>
      </c>
      <c r="I41">
        <v>5.4888279999999972</v>
      </c>
      <c r="J41" s="29">
        <v>32</v>
      </c>
      <c r="K41" s="25">
        <v>40</v>
      </c>
      <c r="L41" s="25">
        <v>31.998000000000001</v>
      </c>
      <c r="M41" s="25">
        <v>1.2609999999999999</v>
      </c>
      <c r="N41" s="25">
        <f t="shared" si="10"/>
        <v>25.375099127676449</v>
      </c>
      <c r="O41" s="26">
        <f t="shared" si="4"/>
        <v>-2.4351254600952893E-3</v>
      </c>
      <c r="P41" s="30">
        <f t="shared" si="5"/>
        <v>-0.12999868521205521</v>
      </c>
      <c r="Q41" s="25">
        <f t="shared" si="11"/>
        <v>-6.3949504794723138E-4</v>
      </c>
      <c r="R41" s="31">
        <f t="shared" si="6"/>
        <v>-3.4139315117467164E-2</v>
      </c>
      <c r="S41" s="30">
        <f t="shared" si="7"/>
        <v>9.5859370094588045E-2</v>
      </c>
      <c r="T41" s="25">
        <f t="shared" si="8"/>
        <v>-0.36869361385548338</v>
      </c>
      <c r="U41" s="31">
        <f t="shared" si="9"/>
        <v>0.36869361385548338</v>
      </c>
      <c r="W41" s="32" t="s">
        <v>159</v>
      </c>
      <c r="X41" s="33" t="s">
        <v>160</v>
      </c>
      <c r="Y41" s="34">
        <v>1</v>
      </c>
      <c r="Z41" s="36">
        <v>34.5</v>
      </c>
      <c r="AA41" s="34" t="s">
        <v>164</v>
      </c>
      <c r="AB41">
        <v>12.586228000000009</v>
      </c>
    </row>
    <row r="42" spans="1:28" s="25" customFormat="1" x14ac:dyDescent="0.2">
      <c r="A42" s="25" t="s">
        <v>42</v>
      </c>
      <c r="B42" s="25">
        <v>-1.07018219463628E-4</v>
      </c>
      <c r="C42" s="26">
        <v>-6.5830818642641901E-5</v>
      </c>
      <c r="D42" s="26">
        <f t="shared" si="2"/>
        <v>4.1187400820986099E-5</v>
      </c>
      <c r="E42" s="27">
        <v>7</v>
      </c>
      <c r="F42" s="27">
        <v>82.891000000000005</v>
      </c>
      <c r="G42" s="25">
        <v>0.39578000000000002</v>
      </c>
      <c r="H42" s="28">
        <f t="shared" si="3"/>
        <v>8.1025180000000002E-2</v>
      </c>
      <c r="I42">
        <v>5.7254080000000034</v>
      </c>
      <c r="J42" s="29">
        <v>32</v>
      </c>
      <c r="K42" s="25">
        <v>40</v>
      </c>
      <c r="L42" s="25">
        <v>31.998000000000001</v>
      </c>
      <c r="M42" s="25">
        <v>1.2609999999999999</v>
      </c>
      <c r="N42" s="25">
        <f t="shared" si="10"/>
        <v>25.375099127676449</v>
      </c>
      <c r="O42" s="26">
        <f t="shared" si="4"/>
        <v>-4.217450301382427E-3</v>
      </c>
      <c r="P42" s="30">
        <f t="shared" si="5"/>
        <v>-0.21486517839742331</v>
      </c>
      <c r="Q42" s="25">
        <f t="shared" si="11"/>
        <v>-2.5943078413766933E-3</v>
      </c>
      <c r="R42" s="31">
        <f t="shared" si="6"/>
        <v>-0.13217142522640282</v>
      </c>
      <c r="S42" s="30">
        <f t="shared" si="7"/>
        <v>8.2693753171020484E-2</v>
      </c>
      <c r="T42" s="25">
        <f t="shared" si="8"/>
        <v>-0.19243172343651418</v>
      </c>
      <c r="U42" s="31">
        <f t="shared" si="9"/>
        <v>0.19243172343651418</v>
      </c>
      <c r="W42" s="32" t="s">
        <v>159</v>
      </c>
      <c r="X42" s="35">
        <v>13</v>
      </c>
      <c r="Y42" s="34">
        <v>1</v>
      </c>
      <c r="Z42" s="36">
        <v>34.5</v>
      </c>
      <c r="AA42" s="34" t="s">
        <v>164</v>
      </c>
      <c r="AB42">
        <v>8.2331559999999993</v>
      </c>
    </row>
    <row r="43" spans="1:28" s="25" customFormat="1" x14ac:dyDescent="0.2">
      <c r="A43" s="25" t="s">
        <v>43</v>
      </c>
      <c r="B43" s="26">
        <v>-6.5773098998612404E-5</v>
      </c>
      <c r="C43" s="26">
        <v>-3.4256829053576399E-5</v>
      </c>
      <c r="D43" s="26">
        <f t="shared" si="2"/>
        <v>3.1516269945036005E-5</v>
      </c>
      <c r="E43" s="27">
        <v>8</v>
      </c>
      <c r="F43" s="27">
        <v>82.2</v>
      </c>
      <c r="G43" s="25">
        <v>0.24363599999999999</v>
      </c>
      <c r="H43" s="28">
        <f t="shared" si="3"/>
        <v>8.1029108000000002E-2</v>
      </c>
      <c r="I43">
        <v>4.7790879999999998</v>
      </c>
      <c r="J43" s="29">
        <v>32</v>
      </c>
      <c r="K43" s="25">
        <v>40</v>
      </c>
      <c r="L43" s="25">
        <v>31.998000000000001</v>
      </c>
      <c r="M43" s="25">
        <v>1.2609999999999999</v>
      </c>
      <c r="N43" s="25">
        <f t="shared" si="10"/>
        <v>25.375099127676449</v>
      </c>
      <c r="O43" s="26">
        <f t="shared" si="4"/>
        <v>-2.5920331844881002E-3</v>
      </c>
      <c r="P43" s="30">
        <f t="shared" si="5"/>
        <v>-0.15821187905384726</v>
      </c>
      <c r="Q43" s="25">
        <f t="shared" si="11"/>
        <v>-1.3500175459891189E-3</v>
      </c>
      <c r="R43" s="31">
        <f t="shared" si="6"/>
        <v>-8.2402036356947247E-2</v>
      </c>
      <c r="S43" s="30">
        <f t="shared" si="7"/>
        <v>7.5809842696900012E-2</v>
      </c>
      <c r="T43" s="25">
        <f t="shared" si="8"/>
        <v>-0.23958328271639517</v>
      </c>
      <c r="U43" s="31">
        <f t="shared" si="9"/>
        <v>0.23958328271639517</v>
      </c>
      <c r="W43" s="32" t="s">
        <v>159</v>
      </c>
      <c r="X43" s="35">
        <v>14</v>
      </c>
      <c r="Y43" s="34">
        <v>1</v>
      </c>
      <c r="Z43" s="36">
        <v>34.5</v>
      </c>
      <c r="AA43" s="34" t="s">
        <v>164</v>
      </c>
      <c r="AB43">
        <v>9.9838480000000018</v>
      </c>
    </row>
    <row r="44" spans="1:28" s="25" customFormat="1" x14ac:dyDescent="0.2">
      <c r="A44" s="25" t="s">
        <v>44</v>
      </c>
      <c r="B44" s="25">
        <v>-1.37599140931734E-4</v>
      </c>
      <c r="C44" s="26">
        <v>-9.8763509582172306E-5</v>
      </c>
      <c r="D44" s="26">
        <f t="shared" si="2"/>
        <v>3.8835631349561691E-5</v>
      </c>
      <c r="E44" s="27">
        <v>1</v>
      </c>
      <c r="F44" s="27">
        <v>81.450999999999993</v>
      </c>
      <c r="G44" s="25">
        <v>0.92211600000000005</v>
      </c>
      <c r="H44" s="28">
        <f t="shared" si="3"/>
        <v>8.0125907999999996E-2</v>
      </c>
      <c r="I44">
        <v>8.2804719999999996</v>
      </c>
      <c r="J44" s="29">
        <v>34.5</v>
      </c>
      <c r="K44" s="25">
        <v>40</v>
      </c>
      <c r="L44" s="25">
        <v>31.998000000000001</v>
      </c>
      <c r="M44" s="25">
        <v>1.2509999999999999</v>
      </c>
      <c r="N44" s="25">
        <f t="shared" si="10"/>
        <v>25.577937649880099</v>
      </c>
      <c r="O44" s="26">
        <f t="shared" si="4"/>
        <v>-5.3796026409650361E-3</v>
      </c>
      <c r="P44" s="30">
        <f t="shared" si="5"/>
        <v>-0.18740042435159221</v>
      </c>
      <c r="Q44" s="25">
        <f t="shared" si="11"/>
        <v>-3.8612772825582084E-3</v>
      </c>
      <c r="R44" s="31">
        <f t="shared" si="6"/>
        <v>-0.13450900551286163</v>
      </c>
      <c r="S44" s="30">
        <f t="shared" si="7"/>
        <v>5.2891418838730581E-2</v>
      </c>
      <c r="T44" s="25">
        <f t="shared" si="8"/>
        <v>-0.14111872751018453</v>
      </c>
      <c r="U44" s="31">
        <f t="shared" si="9"/>
        <v>0.14111872751018453</v>
      </c>
      <c r="W44" s="32" t="s">
        <v>159</v>
      </c>
      <c r="X44" s="35">
        <v>15</v>
      </c>
      <c r="Y44" s="34">
        <v>1</v>
      </c>
      <c r="Z44" s="36">
        <v>34.5</v>
      </c>
      <c r="AA44" s="34" t="s">
        <v>164</v>
      </c>
      <c r="AB44">
        <v>10.362376000000001</v>
      </c>
    </row>
    <row r="45" spans="1:28" s="25" customFormat="1" x14ac:dyDescent="0.2">
      <c r="A45" s="25" t="s">
        <v>45</v>
      </c>
      <c r="B45" s="25">
        <v>-1.6143509294399701E-4</v>
      </c>
      <c r="C45" s="25">
        <v>-1.2210471397226E-4</v>
      </c>
      <c r="D45" s="26">
        <f t="shared" si="2"/>
        <v>3.9330378971737012E-5</v>
      </c>
      <c r="E45" s="27">
        <v>2</v>
      </c>
      <c r="F45" s="27">
        <v>81.305000000000007</v>
      </c>
      <c r="G45" s="25">
        <v>1.6478840000000001</v>
      </c>
      <c r="H45" s="28">
        <f t="shared" si="3"/>
        <v>8.0911276000000004E-2</v>
      </c>
      <c r="I45">
        <v>10.504323999999986</v>
      </c>
      <c r="J45" s="29">
        <v>34.5</v>
      </c>
      <c r="K45" s="25">
        <v>40</v>
      </c>
      <c r="L45" s="25">
        <v>31.998000000000001</v>
      </c>
      <c r="M45" s="25">
        <v>1.2509999999999999</v>
      </c>
      <c r="N45" s="25">
        <f t="shared" si="10"/>
        <v>25.577937649880099</v>
      </c>
      <c r="O45" s="26">
        <f t="shared" si="4"/>
        <v>-6.3114976333814689E-3</v>
      </c>
      <c r="P45" s="30">
        <f t="shared" si="5"/>
        <v>-0.17501523916782766</v>
      </c>
      <c r="Q45" s="25">
        <f t="shared" si="11"/>
        <v>-4.7738295261984262E-3</v>
      </c>
      <c r="R45" s="31">
        <f t="shared" si="6"/>
        <v>-0.13237633360664486</v>
      </c>
      <c r="S45" s="30">
        <f t="shared" si="7"/>
        <v>4.2638905561182799E-2</v>
      </c>
      <c r="T45" s="25">
        <f t="shared" si="8"/>
        <v>-0.1218148367077195</v>
      </c>
      <c r="U45" s="31">
        <f t="shared" si="9"/>
        <v>0.1218148367077195</v>
      </c>
      <c r="W45" s="32" t="s">
        <v>159</v>
      </c>
      <c r="X45" s="33" t="s">
        <v>160</v>
      </c>
      <c r="Y45" s="34">
        <v>2</v>
      </c>
      <c r="Z45" s="36">
        <v>27</v>
      </c>
      <c r="AA45" s="34" t="s">
        <v>163</v>
      </c>
      <c r="AB45">
        <v>34.162323999999991</v>
      </c>
    </row>
    <row r="46" spans="1:28" s="25" customFormat="1" x14ac:dyDescent="0.2">
      <c r="A46" s="25" t="s">
        <v>46</v>
      </c>
      <c r="B46" s="26">
        <v>-4.6751165305942498E-5</v>
      </c>
      <c r="C46" s="26">
        <v>-3.0447250294383399E-5</v>
      </c>
      <c r="D46" s="26">
        <f t="shared" si="2"/>
        <v>1.6303915011559099E-5</v>
      </c>
      <c r="E46" s="27">
        <v>3</v>
      </c>
      <c r="F46" s="27">
        <v>82.116</v>
      </c>
      <c r="G46" s="25">
        <v>0.28989599999999999</v>
      </c>
      <c r="H46" s="28">
        <f t="shared" si="3"/>
        <v>8.1754144000000001E-2</v>
      </c>
      <c r="I46">
        <v>5.0156680000000016</v>
      </c>
      <c r="J46" s="29">
        <v>34.5</v>
      </c>
      <c r="K46" s="25">
        <v>40</v>
      </c>
      <c r="L46" s="25">
        <v>31.998000000000001</v>
      </c>
      <c r="M46" s="25">
        <v>1.2509999999999999</v>
      </c>
      <c r="N46" s="25">
        <f t="shared" si="10"/>
        <v>25.577937649880099</v>
      </c>
      <c r="O46" s="26">
        <f t="shared" si="4"/>
        <v>-1.8277926057170466E-3</v>
      </c>
      <c r="P46" s="30">
        <f t="shared" si="5"/>
        <v>-0.10725323757548064</v>
      </c>
      <c r="Q46" s="25">
        <f t="shared" si="11"/>
        <v>-1.1903715894203896E-3</v>
      </c>
      <c r="R46" s="31">
        <f t="shared" si="6"/>
        <v>-6.9849941663989751E-2</v>
      </c>
      <c r="S46" s="30">
        <f t="shared" si="7"/>
        <v>3.7403295911490886E-2</v>
      </c>
      <c r="T46" s="25">
        <f t="shared" si="8"/>
        <v>-0.17436907620232867</v>
      </c>
      <c r="U46" s="31">
        <f t="shared" si="9"/>
        <v>0.17436907620232867</v>
      </c>
      <c r="W46" s="32" t="s">
        <v>159</v>
      </c>
      <c r="X46" s="35">
        <v>13</v>
      </c>
      <c r="Y46" s="34">
        <v>2</v>
      </c>
      <c r="Z46" s="36">
        <v>27</v>
      </c>
      <c r="AA46" s="34" t="s">
        <v>163</v>
      </c>
      <c r="AB46">
        <v>13.012072000000005</v>
      </c>
    </row>
    <row r="47" spans="1:28" s="25" customFormat="1" x14ac:dyDescent="0.2">
      <c r="A47" s="25" t="s">
        <v>47</v>
      </c>
      <c r="B47" s="26">
        <v>-4.8638550445695498E-5</v>
      </c>
      <c r="C47" s="26">
        <v>-4.63981195332082E-5</v>
      </c>
      <c r="D47" s="26">
        <f t="shared" si="2"/>
        <v>2.2404309124872981E-6</v>
      </c>
      <c r="E47" s="27">
        <v>4</v>
      </c>
      <c r="F47" s="27">
        <v>81.135000000000005</v>
      </c>
      <c r="G47" s="25">
        <v>0.38241600000000003</v>
      </c>
      <c r="H47" s="28">
        <f t="shared" si="3"/>
        <v>7.9580663999999995E-2</v>
      </c>
      <c r="I47">
        <v>4.5425080000000015</v>
      </c>
      <c r="J47" s="29">
        <v>34.5</v>
      </c>
      <c r="K47" s="25">
        <v>40</v>
      </c>
      <c r="L47" s="25">
        <v>31.998000000000001</v>
      </c>
      <c r="M47" s="25">
        <v>1.2509999999999999</v>
      </c>
      <c r="N47" s="25">
        <f t="shared" si="10"/>
        <v>25.577937649880099</v>
      </c>
      <c r="O47" s="26">
        <f t="shared" si="4"/>
        <v>-1.9015821803726814E-3</v>
      </c>
      <c r="P47" s="30">
        <f t="shared" si="5"/>
        <v>-0.11993044838504467</v>
      </c>
      <c r="Q47" s="25">
        <f t="shared" si="11"/>
        <v>-1.8139898598675997E-3</v>
      </c>
      <c r="R47" s="31">
        <f t="shared" si="6"/>
        <v>-0.11440610850550174</v>
      </c>
      <c r="S47" s="30">
        <f t="shared" si="7"/>
        <v>5.5243398795429277E-3</v>
      </c>
      <c r="T47" s="25">
        <f t="shared" si="8"/>
        <v>-2.3031431775384796E-2</v>
      </c>
      <c r="U47" s="31">
        <f t="shared" si="9"/>
        <v>2.3031431775384796E-2</v>
      </c>
      <c r="W47" s="32" t="s">
        <v>159</v>
      </c>
      <c r="X47" s="35">
        <v>14</v>
      </c>
      <c r="Y47" s="34">
        <v>2</v>
      </c>
      <c r="Z47" s="36">
        <v>27</v>
      </c>
      <c r="AA47" s="34" t="s">
        <v>163</v>
      </c>
      <c r="AB47">
        <v>18.027567999999999</v>
      </c>
    </row>
    <row r="48" spans="1:28" s="25" customFormat="1" x14ac:dyDescent="0.2">
      <c r="A48" s="25" t="s">
        <v>48</v>
      </c>
      <c r="B48" s="26">
        <v>-9.6635352599792001E-5</v>
      </c>
      <c r="C48" s="26">
        <v>-8.3613027391948004E-5</v>
      </c>
      <c r="D48" s="26">
        <f t="shared" si="2"/>
        <v>1.3022325207843997E-5</v>
      </c>
      <c r="E48" s="27">
        <v>5</v>
      </c>
      <c r="F48" s="27">
        <v>81.918999999999997</v>
      </c>
      <c r="G48" s="25">
        <v>0.74016000000000004</v>
      </c>
      <c r="H48" s="28">
        <f t="shared" si="3"/>
        <v>8.0747079999999999E-2</v>
      </c>
      <c r="I48">
        <v>8.1385240000000056</v>
      </c>
      <c r="J48" s="29">
        <v>34.5</v>
      </c>
      <c r="K48" s="25">
        <v>40</v>
      </c>
      <c r="L48" s="25">
        <v>31.998000000000001</v>
      </c>
      <c r="M48" s="25">
        <v>1.2509999999999999</v>
      </c>
      <c r="N48" s="25">
        <f t="shared" si="10"/>
        <v>25.577937649880099</v>
      </c>
      <c r="O48" s="26">
        <f t="shared" si="4"/>
        <v>-3.7780744453509525E-3</v>
      </c>
      <c r="P48" s="30">
        <f t="shared" si="5"/>
        <v>-0.13494418965219634</v>
      </c>
      <c r="Q48" s="25">
        <f t="shared" si="11"/>
        <v>-3.2689510990476576E-3</v>
      </c>
      <c r="R48" s="31">
        <f t="shared" si="6"/>
        <v>-0.1167594666157156</v>
      </c>
      <c r="S48" s="30">
        <f t="shared" si="7"/>
        <v>1.8184723036480749E-2</v>
      </c>
      <c r="T48" s="25">
        <f t="shared" si="8"/>
        <v>-6.7378681080489097E-2</v>
      </c>
      <c r="U48" s="31">
        <f t="shared" si="9"/>
        <v>6.7378681080489097E-2</v>
      </c>
      <c r="W48" s="32" t="s">
        <v>159</v>
      </c>
      <c r="X48" s="35">
        <v>15</v>
      </c>
      <c r="Y48" s="34">
        <v>2</v>
      </c>
      <c r="Z48" s="36">
        <v>27</v>
      </c>
      <c r="AA48" s="34" t="s">
        <v>163</v>
      </c>
      <c r="AB48">
        <v>14.620815999999996</v>
      </c>
    </row>
    <row r="49" spans="1:28" s="25" customFormat="1" x14ac:dyDescent="0.2">
      <c r="A49" s="25" t="s">
        <v>49</v>
      </c>
      <c r="B49" s="25">
        <v>-1.40282114944951E-4</v>
      </c>
      <c r="C49" s="25">
        <v>-1.0383581811161101E-4</v>
      </c>
      <c r="D49" s="26">
        <f t="shared" si="2"/>
        <v>3.6446296833339995E-5</v>
      </c>
      <c r="E49" s="27">
        <v>6</v>
      </c>
      <c r="F49" s="27">
        <v>82.186000000000007</v>
      </c>
      <c r="G49" s="25">
        <v>1.107156</v>
      </c>
      <c r="H49" s="28">
        <f t="shared" si="3"/>
        <v>8.1294723999999999E-2</v>
      </c>
      <c r="I49">
        <v>9.2267920000000014</v>
      </c>
      <c r="J49" s="29">
        <v>34.5</v>
      </c>
      <c r="K49" s="25">
        <v>40</v>
      </c>
      <c r="L49" s="25">
        <v>31.998000000000001</v>
      </c>
      <c r="M49" s="25">
        <v>1.2509999999999999</v>
      </c>
      <c r="N49" s="25">
        <f t="shared" si="10"/>
        <v>25.577937649880099</v>
      </c>
      <c r="O49" s="26">
        <f t="shared" si="4"/>
        <v>-5.4844967121736882E-3</v>
      </c>
      <c r="P49" s="30">
        <f t="shared" si="5"/>
        <v>-0.17396060595949733</v>
      </c>
      <c r="Q49" s="25">
        <f t="shared" si="11"/>
        <v>-4.0595852383781914E-3</v>
      </c>
      <c r="R49" s="31">
        <f t="shared" si="6"/>
        <v>-0.12876439627449554</v>
      </c>
      <c r="S49" s="30">
        <f t="shared" si="7"/>
        <v>4.5196209685001792E-2</v>
      </c>
      <c r="T49" s="25">
        <f t="shared" si="8"/>
        <v>-0.12990357626003177</v>
      </c>
      <c r="U49" s="31">
        <f t="shared" si="9"/>
        <v>0.12990357626003177</v>
      </c>
      <c r="W49" s="32" t="s">
        <v>159</v>
      </c>
      <c r="X49" s="33" t="s">
        <v>160</v>
      </c>
      <c r="Y49" s="34">
        <v>2</v>
      </c>
      <c r="Z49" s="36">
        <v>27</v>
      </c>
      <c r="AA49" s="34" t="s">
        <v>164</v>
      </c>
      <c r="AB49">
        <v>31.134099999999982</v>
      </c>
    </row>
    <row r="50" spans="1:28" s="25" customFormat="1" x14ac:dyDescent="0.2">
      <c r="A50" s="25" t="s">
        <v>50</v>
      </c>
      <c r="B50" s="26">
        <v>-5.9233360241483603E-5</v>
      </c>
      <c r="C50" s="26">
        <v>-6.6989681372814594E-5</v>
      </c>
      <c r="D50" s="26">
        <f t="shared" si="2"/>
        <v>-7.7563211313309911E-6</v>
      </c>
      <c r="E50" s="27">
        <v>7</v>
      </c>
      <c r="F50" s="27">
        <v>82.891000000000005</v>
      </c>
      <c r="G50" s="25">
        <v>2.056</v>
      </c>
      <c r="H50" s="28">
        <f t="shared" si="3"/>
        <v>8.261035600000001E-2</v>
      </c>
      <c r="I50">
        <v>13.15402000000001</v>
      </c>
      <c r="J50" s="29">
        <v>34.5</v>
      </c>
      <c r="K50" s="25">
        <v>40</v>
      </c>
      <c r="L50" s="25">
        <v>31.998000000000001</v>
      </c>
      <c r="M50" s="25">
        <v>1.2509999999999999</v>
      </c>
      <c r="N50" s="25">
        <f t="shared" si="10"/>
        <v>25.577937649880099</v>
      </c>
      <c r="O50" s="26">
        <f t="shared" si="4"/>
        <v>-2.3157989143726475E-3</v>
      </c>
      <c r="P50" s="30">
        <f t="shared" si="5"/>
        <v>-5.2357553194130477E-2</v>
      </c>
      <c r="Q50" s="25">
        <f t="shared" si="11"/>
        <v>-2.619041546265112E-3</v>
      </c>
      <c r="R50" s="31">
        <f t="shared" si="6"/>
        <v>-5.9213520753100921E-2</v>
      </c>
      <c r="S50" s="30">
        <f t="shared" si="7"/>
        <v>-6.8559675589704439E-3</v>
      </c>
      <c r="T50" s="25">
        <f t="shared" si="8"/>
        <v>6.5472574067298381E-2</v>
      </c>
      <c r="U50" s="31">
        <f t="shared" si="9"/>
        <v>6.5472574067298381E-2</v>
      </c>
      <c r="W50" s="32" t="s">
        <v>159</v>
      </c>
      <c r="X50" s="35">
        <v>13</v>
      </c>
      <c r="Y50" s="34">
        <v>2</v>
      </c>
      <c r="Z50" s="36">
        <v>27</v>
      </c>
      <c r="AA50" s="34" t="s">
        <v>164</v>
      </c>
      <c r="AB50">
        <v>14.194972</v>
      </c>
    </row>
    <row r="51" spans="1:28" s="25" customFormat="1" x14ac:dyDescent="0.2">
      <c r="A51" s="25" t="s">
        <v>51</v>
      </c>
      <c r="B51" s="25">
        <v>-3.0848645020749201E-4</v>
      </c>
      <c r="C51" s="25">
        <v>-2.4857632308139798E-4</v>
      </c>
      <c r="D51" s="26">
        <f t="shared" si="2"/>
        <v>5.9910127126094035E-5</v>
      </c>
      <c r="E51" s="27">
        <v>8</v>
      </c>
      <c r="F51" s="27">
        <v>82.2</v>
      </c>
      <c r="G51" s="25">
        <v>2.8187760000000002</v>
      </c>
      <c r="H51" s="28">
        <f t="shared" si="3"/>
        <v>8.1478344000000008E-2</v>
      </c>
      <c r="I51">
        <v>16.276876000000023</v>
      </c>
      <c r="J51" s="29">
        <v>34.5</v>
      </c>
      <c r="K51" s="25">
        <v>40</v>
      </c>
      <c r="L51" s="25">
        <v>31.998000000000001</v>
      </c>
      <c r="M51" s="25">
        <v>1.2509999999999999</v>
      </c>
      <c r="N51" s="25">
        <f t="shared" si="10"/>
        <v>25.577937649880099</v>
      </c>
      <c r="O51" s="26">
        <f t="shared" si="4"/>
        <v>-1.2060645953171212E-2</v>
      </c>
      <c r="P51" s="30">
        <f t="shared" si="5"/>
        <v>-0.21734227473410048</v>
      </c>
      <c r="Q51" s="25">
        <f t="shared" si="11"/>
        <v>-9.7183880297152594E-3</v>
      </c>
      <c r="R51" s="31">
        <f t="shared" si="6"/>
        <v>-0.1751329546798929</v>
      </c>
      <c r="S51" s="30">
        <f t="shared" si="7"/>
        <v>4.2209320054207577E-2</v>
      </c>
      <c r="T51" s="25">
        <f t="shared" si="8"/>
        <v>-9.7103336444433183E-2</v>
      </c>
      <c r="U51" s="31">
        <f t="shared" si="9"/>
        <v>9.7103336444433183E-2</v>
      </c>
      <c r="W51" s="32" t="s">
        <v>159</v>
      </c>
      <c r="X51" s="35">
        <v>14</v>
      </c>
      <c r="Y51" s="34">
        <v>2</v>
      </c>
      <c r="Z51" s="36">
        <v>27</v>
      </c>
      <c r="AA51" s="34" t="s">
        <v>164</v>
      </c>
      <c r="AB51">
        <v>17.932935999999987</v>
      </c>
    </row>
    <row r="52" spans="1:28" x14ac:dyDescent="0.2">
      <c r="A52" t="s">
        <v>52</v>
      </c>
      <c r="B52">
        <v>-4.3407985085065E-4</v>
      </c>
      <c r="C52">
        <v>3.0623477295351202E-4</v>
      </c>
      <c r="D52" s="1">
        <f t="shared" si="2"/>
        <v>7.4031462380416203E-4</v>
      </c>
      <c r="E52" s="6">
        <v>1</v>
      </c>
      <c r="F52" s="6">
        <v>81.450999999999993</v>
      </c>
      <c r="G52">
        <v>3.1878280000000001</v>
      </c>
      <c r="H52" s="2">
        <f t="shared" si="3"/>
        <v>8.1068583999999985E-2</v>
      </c>
      <c r="I52">
        <v>20.062155999999984</v>
      </c>
      <c r="J52" s="7">
        <v>27</v>
      </c>
      <c r="K52">
        <v>40</v>
      </c>
      <c r="L52" s="8">
        <v>31.998000000000001</v>
      </c>
      <c r="M52" s="8">
        <v>1.2829999999999999</v>
      </c>
      <c r="N52" s="8">
        <f t="shared" si="10"/>
        <v>24.939984411535466</v>
      </c>
      <c r="O52" s="1">
        <f t="shared" si="4"/>
        <v>-1.7404976831095188E-2</v>
      </c>
      <c r="P52" s="10">
        <f t="shared" si="5"/>
        <v>-0.25319255689662173</v>
      </c>
      <c r="Q52" s="8">
        <f t="shared" si="11"/>
        <v>1.2278867857345957E-2</v>
      </c>
      <c r="R52" s="9">
        <f t="shared" si="6"/>
        <v>0.17862235490270062</v>
      </c>
      <c r="S52" s="10">
        <f t="shared" si="7"/>
        <v>0.43181491179932235</v>
      </c>
      <c r="T52">
        <f t="shared" si="8"/>
        <v>-0.85274013796470316</v>
      </c>
      <c r="U52" s="5">
        <f t="shared" si="9"/>
        <v>0.85274013796470316</v>
      </c>
      <c r="W52" s="32" t="s">
        <v>159</v>
      </c>
      <c r="X52" s="35">
        <v>15</v>
      </c>
      <c r="Y52" s="34">
        <v>2</v>
      </c>
      <c r="Z52" s="36">
        <v>27</v>
      </c>
      <c r="AA52" s="34" t="s">
        <v>164</v>
      </c>
      <c r="AB52">
        <v>11.356012000000009</v>
      </c>
    </row>
    <row r="53" spans="1:28" x14ac:dyDescent="0.2">
      <c r="A53" t="s">
        <v>53</v>
      </c>
      <c r="B53">
        <v>-1.8997392109928001E-4</v>
      </c>
      <c r="C53">
        <v>1.00885045888464E-4</v>
      </c>
      <c r="D53" s="1">
        <f t="shared" si="2"/>
        <v>2.9085896698774401E-4</v>
      </c>
      <c r="E53" s="6">
        <v>2</v>
      </c>
      <c r="F53" s="6">
        <v>81.305000000000007</v>
      </c>
      <c r="G53">
        <v>1.452564</v>
      </c>
      <c r="H53" s="2">
        <f t="shared" si="3"/>
        <v>8.0397276000000004E-2</v>
      </c>
      <c r="I53">
        <v>13.627180000000001</v>
      </c>
      <c r="J53" s="7">
        <v>27</v>
      </c>
      <c r="K53">
        <v>40</v>
      </c>
      <c r="L53" s="8">
        <v>31.998000000000001</v>
      </c>
      <c r="M53" s="8">
        <v>1.2829999999999999</v>
      </c>
      <c r="N53" s="8">
        <f t="shared" si="10"/>
        <v>24.939984411535466</v>
      </c>
      <c r="O53" s="1">
        <f t="shared" si="4"/>
        <v>-7.6172429767603052E-3</v>
      </c>
      <c r="P53" s="10">
        <f t="shared" si="5"/>
        <v>-0.16178403084585186</v>
      </c>
      <c r="Q53" s="8">
        <f t="shared" si="11"/>
        <v>4.0451126281298615E-3</v>
      </c>
      <c r="R53" s="9">
        <f t="shared" si="6"/>
        <v>8.5914894431087768E-2</v>
      </c>
      <c r="S53" s="10">
        <f t="shared" si="7"/>
        <v>0.24769892527693962</v>
      </c>
      <c r="T53">
        <f t="shared" si="8"/>
        <v>-0.76552340790960904</v>
      </c>
      <c r="U53" s="5">
        <f t="shared" si="9"/>
        <v>0.76552340790960904</v>
      </c>
      <c r="W53" s="32" t="s">
        <v>159</v>
      </c>
      <c r="X53" s="33" t="s">
        <v>160</v>
      </c>
      <c r="Y53" s="34">
        <v>2</v>
      </c>
      <c r="Z53" s="36">
        <v>29.5</v>
      </c>
      <c r="AA53" s="34" t="s">
        <v>163</v>
      </c>
      <c r="AB53">
        <v>28.910247999999996</v>
      </c>
    </row>
    <row r="54" spans="1:28" x14ac:dyDescent="0.2">
      <c r="A54" t="s">
        <v>54</v>
      </c>
      <c r="B54">
        <v>-3.4819724682115798E-4</v>
      </c>
      <c r="C54" s="1">
        <v>-4.6390422024930803E-8</v>
      </c>
      <c r="D54" s="1">
        <f t="shared" si="2"/>
        <v>3.4815085639913307E-4</v>
      </c>
      <c r="E54" s="6">
        <v>3</v>
      </c>
      <c r="F54" s="6">
        <v>82.116</v>
      </c>
      <c r="G54">
        <v>1.5306920000000002</v>
      </c>
      <c r="H54" s="2">
        <f t="shared" si="3"/>
        <v>8.1287431999999993E-2</v>
      </c>
      <c r="I54">
        <v>13.485231999999995</v>
      </c>
      <c r="J54" s="7">
        <v>27</v>
      </c>
      <c r="K54">
        <v>40</v>
      </c>
      <c r="L54" s="8">
        <v>31.998000000000001</v>
      </c>
      <c r="M54" s="8">
        <v>1.2829999999999999</v>
      </c>
      <c r="N54" s="8">
        <f t="shared" si="10"/>
        <v>24.939984411535466</v>
      </c>
      <c r="O54" s="1">
        <f t="shared" si="4"/>
        <v>-1.3961405952607839E-2</v>
      </c>
      <c r="P54" s="10">
        <f t="shared" si="5"/>
        <v>-0.30296791432206865</v>
      </c>
      <c r="Q54" s="8">
        <f t="shared" si="11"/>
        <v>-1.8600822382019569E-6</v>
      </c>
      <c r="R54" s="9">
        <f t="shared" si="6"/>
        <v>-4.0364504698776995E-5</v>
      </c>
      <c r="S54" s="10">
        <f t="shared" si="7"/>
        <v>0.30292754981736986</v>
      </c>
      <c r="T54">
        <f t="shared" si="8"/>
        <v>-0.49993338485233813</v>
      </c>
      <c r="U54" s="5">
        <f t="shared" si="9"/>
        <v>0.49993338485233813</v>
      </c>
      <c r="W54" s="32" t="s">
        <v>159</v>
      </c>
      <c r="X54" s="35">
        <v>13</v>
      </c>
      <c r="Y54" s="34">
        <v>2</v>
      </c>
      <c r="Z54" s="36">
        <v>29.5</v>
      </c>
      <c r="AA54" s="34" t="s">
        <v>163</v>
      </c>
      <c r="AB54">
        <v>12.680859999999999</v>
      </c>
    </row>
    <row r="55" spans="1:28" x14ac:dyDescent="0.2">
      <c r="A55" t="s">
        <v>55</v>
      </c>
      <c r="B55">
        <v>-5.1715167189146996E-4</v>
      </c>
      <c r="C55">
        <v>1.0927226125797E-4</v>
      </c>
      <c r="D55" s="1">
        <f t="shared" si="2"/>
        <v>6.2642393314943996E-4</v>
      </c>
      <c r="E55" s="6">
        <v>4</v>
      </c>
      <c r="F55" s="6">
        <v>81.135000000000005</v>
      </c>
      <c r="G55">
        <v>1.0249159999999999</v>
      </c>
      <c r="H55" s="2">
        <f t="shared" si="3"/>
        <v>8.0346524000000002E-2</v>
      </c>
      <c r="I55">
        <v>7.9492600000000042</v>
      </c>
      <c r="J55" s="7">
        <v>27</v>
      </c>
      <c r="K55">
        <v>40</v>
      </c>
      <c r="L55" s="8">
        <v>31.998000000000001</v>
      </c>
      <c r="M55" s="8">
        <v>1.2829999999999999</v>
      </c>
      <c r="N55" s="8">
        <f t="shared" si="10"/>
        <v>24.939984411535466</v>
      </c>
      <c r="O55" s="1">
        <f t="shared" si="4"/>
        <v>-2.0735845835263323E-2</v>
      </c>
      <c r="P55" s="10">
        <f t="shared" si="5"/>
        <v>-0.75450938656275202</v>
      </c>
      <c r="Q55" s="8">
        <f t="shared" si="11"/>
        <v>4.3814085628469121E-3</v>
      </c>
      <c r="R55" s="9">
        <f t="shared" si="6"/>
        <v>0.15942508028356162</v>
      </c>
      <c r="S55" s="10">
        <f t="shared" si="7"/>
        <v>0.91393446684631363</v>
      </c>
      <c r="T55">
        <f t="shared" si="8"/>
        <v>-0.60564817557130701</v>
      </c>
      <c r="U55" s="5">
        <f t="shared" si="9"/>
        <v>0.60564817557130701</v>
      </c>
      <c r="W55" s="32" t="s">
        <v>159</v>
      </c>
      <c r="X55" s="35">
        <v>14</v>
      </c>
      <c r="Y55" s="34">
        <v>2</v>
      </c>
      <c r="Z55" s="36">
        <v>29.5</v>
      </c>
      <c r="AA55" s="34" t="s">
        <v>163</v>
      </c>
      <c r="AB55">
        <v>15.519820000000001</v>
      </c>
    </row>
    <row r="56" spans="1:28" x14ac:dyDescent="0.2">
      <c r="A56" t="s">
        <v>56</v>
      </c>
      <c r="B56">
        <v>-5.40831742946029E-4</v>
      </c>
      <c r="C56">
        <v>1.70129766011168E-4</v>
      </c>
      <c r="D56" s="1">
        <f t="shared" si="2"/>
        <v>7.10961508957197E-4</v>
      </c>
      <c r="E56" s="6">
        <v>5</v>
      </c>
      <c r="F56" s="6">
        <v>81.918999999999997</v>
      </c>
      <c r="G56">
        <v>2.9205480000000001</v>
      </c>
      <c r="H56" s="2">
        <f t="shared" si="3"/>
        <v>8.1334067999999995E-2</v>
      </c>
      <c r="I56">
        <v>19.115836000000005</v>
      </c>
      <c r="J56" s="7">
        <v>27</v>
      </c>
      <c r="K56">
        <v>40</v>
      </c>
      <c r="L56" s="8">
        <v>31.998000000000001</v>
      </c>
      <c r="M56" s="8">
        <v>1.2829999999999999</v>
      </c>
      <c r="N56" s="8">
        <f t="shared" si="10"/>
        <v>24.939984411535466</v>
      </c>
      <c r="O56" s="1">
        <f t="shared" si="4"/>
        <v>-2.168532802674402E-2</v>
      </c>
      <c r="P56" s="10">
        <f t="shared" si="5"/>
        <v>-0.33216027798032022</v>
      </c>
      <c r="Q56" s="8">
        <f t="shared" si="11"/>
        <v>6.8215666539261366E-3</v>
      </c>
      <c r="R56" s="9">
        <f t="shared" si="6"/>
        <v>0.10448785802248244</v>
      </c>
      <c r="S56" s="10">
        <f t="shared" si="7"/>
        <v>0.43664813600280267</v>
      </c>
      <c r="T56">
        <f t="shared" si="8"/>
        <v>-0.65728530012350406</v>
      </c>
      <c r="U56" s="5">
        <f t="shared" si="9"/>
        <v>0.65728530012350406</v>
      </c>
      <c r="W56" s="32" t="s">
        <v>159</v>
      </c>
      <c r="X56" s="35">
        <v>15</v>
      </c>
      <c r="Y56" s="34">
        <v>2</v>
      </c>
      <c r="Z56" s="36">
        <v>29.5</v>
      </c>
      <c r="AA56" s="34" t="s">
        <v>163</v>
      </c>
      <c r="AB56">
        <v>9.2741080000000053</v>
      </c>
    </row>
    <row r="57" spans="1:28" x14ac:dyDescent="0.2">
      <c r="A57" t="s">
        <v>57</v>
      </c>
      <c r="B57" s="1">
        <v>-2.12669037979395E-5</v>
      </c>
      <c r="C57" s="1">
        <v>4.0932748532842901E-5</v>
      </c>
      <c r="D57" s="1">
        <f t="shared" ref="D57:D116" si="12">C57-B57</f>
        <v>6.2199652330782401E-5</v>
      </c>
      <c r="E57" s="6">
        <v>6</v>
      </c>
      <c r="F57" s="6">
        <v>82.186000000000007</v>
      </c>
      <c r="G57">
        <v>0.48521599999999998</v>
      </c>
      <c r="H57" s="2">
        <f t="shared" si="3"/>
        <v>8.127519200000001E-2</v>
      </c>
      <c r="I57">
        <v>6.5297799999999988</v>
      </c>
      <c r="J57" s="7">
        <v>27</v>
      </c>
      <c r="K57">
        <v>40</v>
      </c>
      <c r="L57" s="8">
        <v>31.998000000000001</v>
      </c>
      <c r="M57" s="8">
        <v>1.2829999999999999</v>
      </c>
      <c r="N57" s="8">
        <f t="shared" si="10"/>
        <v>24.939984411535466</v>
      </c>
      <c r="O57" s="1">
        <f t="shared" si="4"/>
        <v>-8.5272321934984612E-4</v>
      </c>
      <c r="P57" s="10">
        <f t="shared" si="5"/>
        <v>-3.8209384719218836E-2</v>
      </c>
      <c r="Q57" s="8">
        <f t="shared" si="11"/>
        <v>1.641249964611458E-3</v>
      </c>
      <c r="R57" s="9">
        <f t="shared" si="6"/>
        <v>7.3542211464649981E-2</v>
      </c>
      <c r="S57" s="10">
        <f t="shared" si="7"/>
        <v>0.11175159618386882</v>
      </c>
      <c r="T57">
        <f t="shared" si="8"/>
        <v>-1.4623579652626437</v>
      </c>
      <c r="U57" s="5">
        <f t="shared" si="9"/>
        <v>1.4623579652626437</v>
      </c>
      <c r="W57" s="32" t="s">
        <v>159</v>
      </c>
      <c r="X57" s="33" t="s">
        <v>160</v>
      </c>
      <c r="Y57" s="34">
        <v>2</v>
      </c>
      <c r="Z57" s="36">
        <v>29.5</v>
      </c>
      <c r="AA57" s="34" t="s">
        <v>164</v>
      </c>
      <c r="AB57">
        <v>17.08124800000002</v>
      </c>
    </row>
    <row r="58" spans="1:28" x14ac:dyDescent="0.2">
      <c r="A58" t="s">
        <v>58</v>
      </c>
      <c r="B58">
        <v>-4.9181114008644297E-4</v>
      </c>
      <c r="C58">
        <v>2.4320886356735E-4</v>
      </c>
      <c r="D58" s="1">
        <f t="shared" si="12"/>
        <v>7.3502000365379295E-4</v>
      </c>
      <c r="E58" s="6">
        <v>7</v>
      </c>
      <c r="F58" s="6">
        <v>82.891000000000005</v>
      </c>
      <c r="G58">
        <v>0.96837600000000001</v>
      </c>
      <c r="H58" s="2">
        <f t="shared" si="3"/>
        <v>8.2211492000000011E-2</v>
      </c>
      <c r="I58">
        <v>9.7945840000000022</v>
      </c>
      <c r="J58" s="7">
        <v>27</v>
      </c>
      <c r="K58">
        <v>40</v>
      </c>
      <c r="L58" s="8">
        <v>31.998000000000001</v>
      </c>
      <c r="M58" s="8">
        <v>1.2829999999999999</v>
      </c>
      <c r="N58" s="8">
        <f t="shared" si="10"/>
        <v>24.939984411535466</v>
      </c>
      <c r="O58" s="1">
        <f t="shared" si="4"/>
        <v>-1.9719785384427348E-2</v>
      </c>
      <c r="P58" s="10">
        <f t="shared" si="5"/>
        <v>-0.59586958692118386</v>
      </c>
      <c r="Q58" s="8">
        <f t="shared" si="11"/>
        <v>9.751764858957122E-3</v>
      </c>
      <c r="R58" s="9">
        <f t="shared" si="6"/>
        <v>0.29466751209412512</v>
      </c>
      <c r="S58" s="10">
        <f t="shared" si="7"/>
        <v>0.89053709901530897</v>
      </c>
      <c r="T58">
        <f t="shared" si="8"/>
        <v>-0.74725839224036539</v>
      </c>
      <c r="U58" s="5">
        <f t="shared" si="9"/>
        <v>0.74725839224036539</v>
      </c>
      <c r="W58" s="32" t="s">
        <v>159</v>
      </c>
      <c r="X58" s="35">
        <v>13</v>
      </c>
      <c r="Y58" s="34">
        <v>2</v>
      </c>
      <c r="Z58" s="36">
        <v>29.5</v>
      </c>
      <c r="AA58" s="34" t="s">
        <v>164</v>
      </c>
      <c r="AB58">
        <v>11.971120000000015</v>
      </c>
    </row>
    <row r="59" spans="1:28" x14ac:dyDescent="0.2">
      <c r="A59" t="s">
        <v>59</v>
      </c>
      <c r="B59">
        <v>-1.1049292408347401E-4</v>
      </c>
      <c r="C59" s="1">
        <v>-7.9791269126662994E-5</v>
      </c>
      <c r="D59" s="1">
        <f t="shared" si="12"/>
        <v>3.0701654956811011E-5</v>
      </c>
      <c r="E59" s="6">
        <v>8</v>
      </c>
      <c r="F59" s="6">
        <v>82.2</v>
      </c>
      <c r="G59">
        <v>0.79156000000000004</v>
      </c>
      <c r="H59" s="2">
        <f t="shared" si="3"/>
        <v>8.0715568000000001E-2</v>
      </c>
      <c r="I59">
        <v>7.5707319999999942</v>
      </c>
      <c r="J59" s="7">
        <v>27</v>
      </c>
      <c r="K59">
        <v>40</v>
      </c>
      <c r="L59" s="8">
        <v>31.998000000000001</v>
      </c>
      <c r="M59" s="8">
        <v>1.2829999999999999</v>
      </c>
      <c r="N59" s="8">
        <f t="shared" si="10"/>
        <v>24.939984411535466</v>
      </c>
      <c r="O59" s="1">
        <f t="shared" si="4"/>
        <v>-4.4303525720075362E-3</v>
      </c>
      <c r="P59" s="10">
        <f t="shared" si="5"/>
        <v>-0.17004357404851447</v>
      </c>
      <c r="Q59" s="8">
        <f t="shared" si="11"/>
        <v>-3.1993311547443156E-3</v>
      </c>
      <c r="R59" s="9">
        <f t="shared" si="6"/>
        <v>-0.12279512640931163</v>
      </c>
      <c r="S59" s="10">
        <f t="shared" si="7"/>
        <v>4.7248447639202842E-2</v>
      </c>
      <c r="T59">
        <f t="shared" si="8"/>
        <v>-0.13893041211225829</v>
      </c>
      <c r="U59" s="5">
        <f t="shared" si="9"/>
        <v>0.13893041211225829</v>
      </c>
      <c r="W59" s="32" t="s">
        <v>159</v>
      </c>
      <c r="X59" s="35">
        <v>14</v>
      </c>
      <c r="Y59" s="34">
        <v>2</v>
      </c>
      <c r="Z59" s="36">
        <v>29.5</v>
      </c>
      <c r="AA59" s="34" t="s">
        <v>164</v>
      </c>
      <c r="AB59">
        <v>16.229560000000006</v>
      </c>
    </row>
    <row r="60" spans="1:28" x14ac:dyDescent="0.2">
      <c r="A60" t="s">
        <v>60</v>
      </c>
      <c r="B60">
        <v>-1.9864349410313401E-4</v>
      </c>
      <c r="C60">
        <v>2.2594600192045301E-4</v>
      </c>
      <c r="D60" s="1">
        <f t="shared" si="12"/>
        <v>4.2458949602358701E-4</v>
      </c>
      <c r="E60" s="6">
        <v>1</v>
      </c>
      <c r="F60" s="6">
        <v>81.450999999999993</v>
      </c>
      <c r="G60">
        <v>1.86582</v>
      </c>
      <c r="H60" s="2">
        <f t="shared" si="3"/>
        <v>8.1074751999999986E-2</v>
      </c>
      <c r="I60">
        <v>13.059388</v>
      </c>
      <c r="J60" s="7">
        <v>27</v>
      </c>
      <c r="K60">
        <v>40</v>
      </c>
      <c r="L60" s="8">
        <v>31.998000000000001</v>
      </c>
      <c r="M60" s="8">
        <v>1.2829999999999999</v>
      </c>
      <c r="N60" s="8">
        <f t="shared" si="10"/>
        <v>24.939984411535466</v>
      </c>
      <c r="O60" s="1">
        <f t="shared" si="4"/>
        <v>-7.9648603954722459E-3</v>
      </c>
      <c r="P60" s="10">
        <f t="shared" si="5"/>
        <v>-0.17800961979222324</v>
      </c>
      <c r="Q60" s="8">
        <f t="shared" si="11"/>
        <v>9.0595887387943368E-3</v>
      </c>
      <c r="R60" s="9">
        <f t="shared" si="6"/>
        <v>0.20247610966081078</v>
      </c>
      <c r="S60" s="10">
        <f t="shared" si="7"/>
        <v>0.38048572945303405</v>
      </c>
      <c r="T60">
        <f t="shared" si="8"/>
        <v>-1.0687223811194735</v>
      </c>
      <c r="U60" s="5">
        <f t="shared" si="9"/>
        <v>1.0687223811194735</v>
      </c>
      <c r="W60" s="32" t="s">
        <v>159</v>
      </c>
      <c r="X60" s="35">
        <v>15</v>
      </c>
      <c r="Y60" s="34">
        <v>2</v>
      </c>
      <c r="Z60" s="36">
        <v>29.5</v>
      </c>
      <c r="AA60" s="34" t="s">
        <v>164</v>
      </c>
      <c r="AB60">
        <v>13.721812000000011</v>
      </c>
    </row>
    <row r="61" spans="1:28" x14ac:dyDescent="0.2">
      <c r="A61" t="s">
        <v>61</v>
      </c>
      <c r="B61">
        <v>-1.1501549990090899E-4</v>
      </c>
      <c r="C61" s="1">
        <v>2.9656036185613E-5</v>
      </c>
      <c r="D61" s="1">
        <f t="shared" si="12"/>
        <v>1.4467153608652199E-4</v>
      </c>
      <c r="E61" s="6">
        <v>2</v>
      </c>
      <c r="F61" s="6">
        <v>81.305000000000007</v>
      </c>
      <c r="G61">
        <v>1.170892</v>
      </c>
      <c r="H61" s="2">
        <f t="shared" si="3"/>
        <v>8.0597736000000017E-2</v>
      </c>
      <c r="I61">
        <v>9.9365319999999961</v>
      </c>
      <c r="J61" s="7">
        <v>27</v>
      </c>
      <c r="K61">
        <v>40</v>
      </c>
      <c r="L61" s="8">
        <v>31.998000000000001</v>
      </c>
      <c r="M61" s="8">
        <v>1.2829999999999999</v>
      </c>
      <c r="N61" s="8">
        <f t="shared" si="10"/>
        <v>24.939984411535466</v>
      </c>
      <c r="O61" s="1">
        <f t="shared" si="4"/>
        <v>-4.6116909298351844E-3</v>
      </c>
      <c r="P61" s="10">
        <f t="shared" si="5"/>
        <v>-0.13466374919088708</v>
      </c>
      <c r="Q61" s="8">
        <f t="shared" si="11"/>
        <v>1.1890960193181284E-3</v>
      </c>
      <c r="R61" s="9">
        <f t="shared" si="6"/>
        <v>3.4722215895561202E-2</v>
      </c>
      <c r="S61" s="10">
        <f t="shared" si="7"/>
        <v>0.16938596508644829</v>
      </c>
      <c r="T61">
        <f t="shared" si="8"/>
        <v>-0.62892191144307941</v>
      </c>
      <c r="U61" s="5">
        <f t="shared" si="9"/>
        <v>0.62892191144307941</v>
      </c>
      <c r="W61" s="32" t="s">
        <v>159</v>
      </c>
      <c r="X61" s="33" t="s">
        <v>160</v>
      </c>
      <c r="Y61" s="34">
        <v>2</v>
      </c>
      <c r="Z61" s="36">
        <v>32</v>
      </c>
      <c r="AA61" s="34" t="s">
        <v>163</v>
      </c>
      <c r="AB61">
        <v>44.146000000000001</v>
      </c>
    </row>
    <row r="62" spans="1:28" x14ac:dyDescent="0.2">
      <c r="A62" t="s">
        <v>62</v>
      </c>
      <c r="B62">
        <v>-2.05035948596482E-4</v>
      </c>
      <c r="C62" s="1">
        <v>7.9862737369070102E-5</v>
      </c>
      <c r="D62" s="1">
        <f t="shared" si="12"/>
        <v>2.8489868596555211E-4</v>
      </c>
      <c r="E62" s="6">
        <v>3</v>
      </c>
      <c r="F62" s="6">
        <v>82.116</v>
      </c>
      <c r="G62">
        <v>1.3250919999999999</v>
      </c>
      <c r="H62" s="2">
        <f t="shared" si="3"/>
        <v>8.0806327999999997E-2</v>
      </c>
      <c r="I62">
        <v>10.882851999999987</v>
      </c>
      <c r="J62" s="7">
        <v>27</v>
      </c>
      <c r="K62">
        <v>40</v>
      </c>
      <c r="L62" s="8">
        <v>31.998000000000001</v>
      </c>
      <c r="M62" s="8">
        <v>1.2829999999999999</v>
      </c>
      <c r="N62" s="8">
        <f t="shared" si="10"/>
        <v>24.939984411535466</v>
      </c>
      <c r="O62" s="1">
        <f t="shared" si="4"/>
        <v>-8.2211738874081626E-3</v>
      </c>
      <c r="P62" s="10">
        <f t="shared" si="5"/>
        <v>-0.21975511063528047</v>
      </c>
      <c r="Q62" s="8">
        <f t="shared" si="11"/>
        <v>3.2021967636888843E-3</v>
      </c>
      <c r="R62" s="9">
        <f t="shared" si="6"/>
        <v>8.559593966966178E-2</v>
      </c>
      <c r="S62" s="10">
        <f t="shared" si="7"/>
        <v>0.30535105030494225</v>
      </c>
      <c r="T62">
        <f t="shared" si="8"/>
        <v>-0.69475301261985711</v>
      </c>
      <c r="U62" s="5">
        <f t="shared" si="9"/>
        <v>0.69475301261985711</v>
      </c>
      <c r="W62" s="32" t="s">
        <v>159</v>
      </c>
      <c r="X62" s="35">
        <v>13</v>
      </c>
      <c r="Y62" s="34">
        <v>2</v>
      </c>
      <c r="Z62" s="36">
        <v>32</v>
      </c>
      <c r="AA62" s="34" t="s">
        <v>163</v>
      </c>
      <c r="AB62">
        <v>8.6590000000000007</v>
      </c>
    </row>
    <row r="63" spans="1:28" x14ac:dyDescent="0.2">
      <c r="A63" t="s">
        <v>63</v>
      </c>
      <c r="B63">
        <v>-4.6631619681488902E-4</v>
      </c>
      <c r="C63" s="1">
        <v>6.1343780245782994E-5</v>
      </c>
      <c r="D63" s="1">
        <f t="shared" si="12"/>
        <v>5.2765997706067205E-4</v>
      </c>
      <c r="E63" s="6">
        <v>4</v>
      </c>
      <c r="F63" s="6">
        <v>81.135000000000005</v>
      </c>
      <c r="G63">
        <v>0.39372400000000002</v>
      </c>
      <c r="H63" s="2">
        <f t="shared" si="3"/>
        <v>8.030232000000001E-2</v>
      </c>
      <c r="I63">
        <v>4.3532440000000019</v>
      </c>
      <c r="J63" s="7">
        <v>27</v>
      </c>
      <c r="K63">
        <v>40</v>
      </c>
      <c r="L63" s="8">
        <v>31.998000000000001</v>
      </c>
      <c r="M63" s="8">
        <v>1.2829999999999999</v>
      </c>
      <c r="N63" s="8">
        <f t="shared" si="10"/>
        <v>24.939984411535466</v>
      </c>
      <c r="O63" s="1">
        <f t="shared" si="4"/>
        <v>-1.8697533611897698E-2</v>
      </c>
      <c r="P63" s="10">
        <f t="shared" si="5"/>
        <v>-1.2416577564519955</v>
      </c>
      <c r="Q63" s="8">
        <f t="shared" si="11"/>
        <v>2.4596559177242194E-3</v>
      </c>
      <c r="R63" s="9">
        <f t="shared" si="6"/>
        <v>0.1633397704658737</v>
      </c>
      <c r="S63" s="10">
        <f t="shared" si="7"/>
        <v>1.4049975269178692</v>
      </c>
      <c r="T63">
        <f t="shared" si="8"/>
        <v>-0.56577487621573463</v>
      </c>
      <c r="U63" s="5">
        <f t="shared" si="9"/>
        <v>0.56577487621573463</v>
      </c>
      <c r="W63" s="32" t="s">
        <v>159</v>
      </c>
      <c r="X63" s="35">
        <v>14</v>
      </c>
      <c r="Y63" s="34">
        <v>2</v>
      </c>
      <c r="Z63" s="36">
        <v>32</v>
      </c>
      <c r="AA63" s="34" t="s">
        <v>163</v>
      </c>
      <c r="AB63">
        <v>11.166748000000009</v>
      </c>
    </row>
    <row r="64" spans="1:28" x14ac:dyDescent="0.2">
      <c r="A64" t="s">
        <v>64</v>
      </c>
      <c r="B64">
        <v>-1.16485970159957E-4</v>
      </c>
      <c r="C64">
        <v>1.2371271387909299E-4</v>
      </c>
      <c r="D64" s="1">
        <f t="shared" si="12"/>
        <v>2.4019868403904999E-4</v>
      </c>
      <c r="E64" s="6">
        <v>5</v>
      </c>
      <c r="F64" s="6">
        <v>81.918999999999997</v>
      </c>
      <c r="G64">
        <v>0.36185600000000001</v>
      </c>
      <c r="H64" s="2">
        <f t="shared" si="3"/>
        <v>7.9019012E-2</v>
      </c>
      <c r="I64">
        <v>9.3687399999999954</v>
      </c>
      <c r="J64" s="7">
        <v>27</v>
      </c>
      <c r="K64">
        <v>40</v>
      </c>
      <c r="L64" s="8">
        <v>31.998000000000001</v>
      </c>
      <c r="M64" s="8">
        <v>1.2829999999999999</v>
      </c>
      <c r="N64" s="8">
        <f t="shared" si="10"/>
        <v>24.939984411535466</v>
      </c>
      <c r="O64" s="1">
        <f t="shared" si="4"/>
        <v>-4.6706512818058881E-3</v>
      </c>
      <c r="P64" s="10">
        <f t="shared" si="5"/>
        <v>-0.14181767226600442</v>
      </c>
      <c r="Q64" s="8">
        <f t="shared" si="11"/>
        <v>4.9604166481303927E-3</v>
      </c>
      <c r="R64" s="9">
        <f t="shared" si="6"/>
        <v>0.15061598480873795</v>
      </c>
      <c r="S64" s="10">
        <f t="shared" si="7"/>
        <v>0.29243365707474234</v>
      </c>
      <c r="T64">
        <f t="shared" si="8"/>
        <v>-1.0310198031111055</v>
      </c>
      <c r="U64" s="5">
        <f t="shared" si="9"/>
        <v>1.0310198031111055</v>
      </c>
      <c r="W64" s="32" t="s">
        <v>159</v>
      </c>
      <c r="X64" s="35">
        <v>15</v>
      </c>
      <c r="Y64" s="34">
        <v>2</v>
      </c>
      <c r="Z64" s="36">
        <v>32</v>
      </c>
      <c r="AA64" s="34" t="s">
        <v>163</v>
      </c>
      <c r="AB64">
        <v>10.504323999999997</v>
      </c>
    </row>
    <row r="65" spans="1:28" x14ac:dyDescent="0.2">
      <c r="A65" t="s">
        <v>65</v>
      </c>
      <c r="B65">
        <v>-1.9812262947578799E-4</v>
      </c>
      <c r="C65">
        <v>1.3391370208440501E-4</v>
      </c>
      <c r="D65" s="1">
        <f t="shared" si="12"/>
        <v>3.32036331560193E-4</v>
      </c>
      <c r="E65" s="6">
        <v>6</v>
      </c>
      <c r="F65" s="6">
        <v>82.186000000000007</v>
      </c>
      <c r="G65">
        <v>1.5543359999999999</v>
      </c>
      <c r="H65" s="2">
        <f t="shared" si="3"/>
        <v>8.1182672000000011E-2</v>
      </c>
      <c r="I65">
        <v>13.579864000000006</v>
      </c>
      <c r="J65" s="7">
        <v>27</v>
      </c>
      <c r="K65">
        <v>40</v>
      </c>
      <c r="L65" s="8">
        <v>31.998000000000001</v>
      </c>
      <c r="M65" s="8">
        <v>1.2829999999999999</v>
      </c>
      <c r="N65" s="8">
        <f t="shared" si="10"/>
        <v>24.939984411535466</v>
      </c>
      <c r="O65" s="1">
        <f t="shared" si="4"/>
        <v>-7.9439756740245001E-3</v>
      </c>
      <c r="P65" s="10">
        <f t="shared" si="5"/>
        <v>-0.17096543952672241</v>
      </c>
      <c r="Q65" s="8">
        <f t="shared" si="11"/>
        <v>5.3694380828267895E-3</v>
      </c>
      <c r="R65" s="9">
        <f t="shared" si="6"/>
        <v>0.11555779870319537</v>
      </c>
      <c r="S65" s="10">
        <f t="shared" si="7"/>
        <v>0.28652323822991776</v>
      </c>
      <c r="T65">
        <f t="shared" si="8"/>
        <v>-0.83795660404550154</v>
      </c>
      <c r="U65" s="5">
        <f t="shared" si="9"/>
        <v>0.83795660404550154</v>
      </c>
      <c r="W65" s="32" t="s">
        <v>159</v>
      </c>
      <c r="X65" s="33" t="s">
        <v>160</v>
      </c>
      <c r="Y65" s="34">
        <v>2</v>
      </c>
      <c r="Z65" s="36">
        <v>32</v>
      </c>
      <c r="AA65" s="34" t="s">
        <v>164</v>
      </c>
      <c r="AB65">
        <v>41.496303999999959</v>
      </c>
    </row>
    <row r="66" spans="1:28" x14ac:dyDescent="0.2">
      <c r="A66" t="s">
        <v>66</v>
      </c>
      <c r="B66">
        <v>-2.09873011296391E-4</v>
      </c>
      <c r="C66" s="1">
        <v>2.9452969371045601E-5</v>
      </c>
      <c r="D66" s="1">
        <f t="shared" si="12"/>
        <v>2.3932598066743661E-4</v>
      </c>
      <c r="E66" s="6">
        <v>7</v>
      </c>
      <c r="F66" s="6">
        <v>82.891000000000005</v>
      </c>
      <c r="G66">
        <v>1.1719199999999999</v>
      </c>
      <c r="H66" s="2">
        <f t="shared" si="3"/>
        <v>7.9763823999999997E-2</v>
      </c>
      <c r="I66">
        <v>11.497960000000003</v>
      </c>
      <c r="J66" s="7">
        <v>27</v>
      </c>
      <c r="K66">
        <v>40</v>
      </c>
      <c r="L66" s="8">
        <v>31.998000000000001</v>
      </c>
      <c r="M66" s="8">
        <v>1.2829999999999999</v>
      </c>
      <c r="N66" s="8">
        <f t="shared" si="10"/>
        <v>24.939984411535466</v>
      </c>
      <c r="O66" s="1">
        <f t="shared" si="4"/>
        <v>-8.4151219917891623E-3</v>
      </c>
      <c r="P66" s="10">
        <f t="shared" si="5"/>
        <v>-0.21015904683698328</v>
      </c>
      <c r="Q66" s="8">
        <f t="shared" si="11"/>
        <v>1.1809538003328803E-3</v>
      </c>
      <c r="R66" s="9">
        <f t="shared" si="6"/>
        <v>2.949311076876061E-2</v>
      </c>
      <c r="S66" s="10">
        <f t="shared" si="7"/>
        <v>0.23965215760574388</v>
      </c>
      <c r="T66">
        <f t="shared" si="8"/>
        <v>-0.5701685490409506</v>
      </c>
      <c r="U66" s="5">
        <f t="shared" si="9"/>
        <v>0.5701685490409506</v>
      </c>
      <c r="W66" s="32" t="s">
        <v>159</v>
      </c>
      <c r="X66" s="35">
        <v>13</v>
      </c>
      <c r="Y66" s="34">
        <v>2</v>
      </c>
      <c r="Z66" s="36">
        <v>32</v>
      </c>
      <c r="AA66" s="34" t="s">
        <v>164</v>
      </c>
      <c r="AB66">
        <v>11.214064000000002</v>
      </c>
    </row>
    <row r="67" spans="1:28" x14ac:dyDescent="0.2">
      <c r="A67" t="s">
        <v>67</v>
      </c>
      <c r="B67" s="1">
        <v>-5.5485984183907001E-5</v>
      </c>
      <c r="C67" s="1">
        <v>5.9632002135516598E-5</v>
      </c>
      <c r="D67" s="1">
        <f t="shared" si="12"/>
        <v>1.151179863194236E-4</v>
      </c>
      <c r="E67" s="6">
        <v>8</v>
      </c>
      <c r="F67" s="6">
        <v>82.2</v>
      </c>
      <c r="G67">
        <v>0.89127600000000007</v>
      </c>
      <c r="H67" s="2">
        <f t="shared" ref="H67:H130" si="13">(F67-G85)/1000</f>
        <v>7.9055348000000011E-2</v>
      </c>
      <c r="I67">
        <v>8.3277880000000053</v>
      </c>
      <c r="J67" s="7">
        <v>27</v>
      </c>
      <c r="K67">
        <v>40</v>
      </c>
      <c r="L67" s="8">
        <v>31.998000000000001</v>
      </c>
      <c r="M67" s="8">
        <v>1.2829999999999999</v>
      </c>
      <c r="N67" s="8">
        <f t="shared" si="10"/>
        <v>24.939984411535466</v>
      </c>
      <c r="O67" s="1">
        <f t="shared" ref="O67:O130" si="14">(B67*1000)/N67</f>
        <v>-2.2247802271377175E-3</v>
      </c>
      <c r="P67" s="10">
        <f t="shared" ref="P67:P130" si="15">((O67*H67)*3600)/I67</f>
        <v>-7.6031088962352111E-2</v>
      </c>
      <c r="Q67" s="8">
        <f t="shared" si="11"/>
        <v>2.3910200243723915E-3</v>
      </c>
      <c r="R67" s="9">
        <f t="shared" ref="R67:R130" si="16">((Q67*H67)*3600)/I67</f>
        <v>8.1712276100955022E-2</v>
      </c>
      <c r="S67" s="10">
        <f t="shared" ref="S67:S130" si="17">R67-P67</f>
        <v>0.15774336506330713</v>
      </c>
      <c r="T67">
        <f t="shared" ref="T67:T130" si="18">(S67*12)/(P67*24)</f>
        <v>-1.0373609481077934</v>
      </c>
      <c r="U67" s="5">
        <f t="shared" ref="U67:U130" si="19">SQRT(T67^2)</f>
        <v>1.0373609481077934</v>
      </c>
      <c r="W67" s="32" t="s">
        <v>159</v>
      </c>
      <c r="X67" s="35">
        <v>14</v>
      </c>
      <c r="Y67" s="34">
        <v>2</v>
      </c>
      <c r="Z67" s="36">
        <v>32</v>
      </c>
      <c r="AA67" s="34" t="s">
        <v>164</v>
      </c>
      <c r="AB67">
        <v>20.109472</v>
      </c>
    </row>
    <row r="68" spans="1:28" x14ac:dyDescent="0.2">
      <c r="A68" t="s">
        <v>68</v>
      </c>
      <c r="B68" s="1">
        <v>7.5837446220618302E-5</v>
      </c>
      <c r="C68" s="1">
        <v>7.7787009025958494E-5</v>
      </c>
      <c r="D68" s="1">
        <f t="shared" si="12"/>
        <v>1.9495628053401917E-6</v>
      </c>
      <c r="E68" s="6">
        <v>1</v>
      </c>
      <c r="F68" s="6">
        <v>81.450999999999993</v>
      </c>
      <c r="G68">
        <v>0.280644</v>
      </c>
      <c r="H68" s="2">
        <f t="shared" si="13"/>
        <v>7.9449484000000001E-2</v>
      </c>
      <c r="I68">
        <v>4.4478759999999991</v>
      </c>
      <c r="J68" s="7">
        <v>27</v>
      </c>
      <c r="K68">
        <v>40</v>
      </c>
      <c r="L68" s="8">
        <v>31.998000000000001</v>
      </c>
      <c r="M68" s="8">
        <v>1.2829999999999999</v>
      </c>
      <c r="N68" s="8">
        <f t="shared" si="10"/>
        <v>24.939984411535466</v>
      </c>
      <c r="O68" s="1">
        <f t="shared" si="14"/>
        <v>3.0407976592616189E-3</v>
      </c>
      <c r="P68" s="10">
        <f t="shared" si="15"/>
        <v>0.19553676809251802</v>
      </c>
      <c r="Q68" s="8">
        <f t="shared" si="11"/>
        <v>3.1189678286238118E-3</v>
      </c>
      <c r="R68" s="9">
        <f t="shared" si="16"/>
        <v>0.20056345647863033</v>
      </c>
      <c r="S68" s="10">
        <f t="shared" si="17"/>
        <v>5.0266883861123102E-3</v>
      </c>
      <c r="T68">
        <f t="shared" si="18"/>
        <v>1.2853563130730323E-2</v>
      </c>
      <c r="U68" s="5">
        <f t="shared" si="19"/>
        <v>1.2853563130730323E-2</v>
      </c>
      <c r="W68" s="32" t="s">
        <v>159</v>
      </c>
      <c r="X68" s="35">
        <v>15</v>
      </c>
      <c r="Y68" s="34">
        <v>2</v>
      </c>
      <c r="Z68" s="36">
        <v>32</v>
      </c>
      <c r="AA68" s="34" t="s">
        <v>164</v>
      </c>
      <c r="AB68">
        <v>9.7945840000000022</v>
      </c>
    </row>
    <row r="69" spans="1:28" x14ac:dyDescent="0.2">
      <c r="A69" t="s">
        <v>69</v>
      </c>
      <c r="B69" s="1">
        <v>-1.7048213039380499E-5</v>
      </c>
      <c r="C69" s="1">
        <v>4.4251412029702702E-5</v>
      </c>
      <c r="D69" s="1">
        <f t="shared" si="12"/>
        <v>6.1299625069083201E-5</v>
      </c>
      <c r="E69" s="6">
        <v>2</v>
      </c>
      <c r="F69" s="6">
        <v>81.305000000000007</v>
      </c>
      <c r="G69">
        <v>0.72165599999999996</v>
      </c>
      <c r="H69" s="2">
        <f t="shared" si="13"/>
        <v>7.9544036000000012E-2</v>
      </c>
      <c r="I69">
        <v>8.7063160000000064</v>
      </c>
      <c r="J69" s="7">
        <v>27</v>
      </c>
      <c r="K69">
        <v>40</v>
      </c>
      <c r="L69" s="8">
        <v>31.998000000000001</v>
      </c>
      <c r="M69" s="8">
        <v>1.2829999999999999</v>
      </c>
      <c r="N69" s="8">
        <f t="shared" si="10"/>
        <v>24.939984411535466</v>
      </c>
      <c r="O69" s="1">
        <f t="shared" si="14"/>
        <v>-6.8356951464232699E-4</v>
      </c>
      <c r="P69" s="10">
        <f t="shared" si="15"/>
        <v>-2.2483213461625139E-2</v>
      </c>
      <c r="Q69" s="8">
        <f t="shared" si="11"/>
        <v>1.7743159458125058E-3</v>
      </c>
      <c r="R69" s="9">
        <f t="shared" si="16"/>
        <v>5.8358840327952972E-2</v>
      </c>
      <c r="S69" s="10">
        <f t="shared" si="17"/>
        <v>8.0842053789578108E-2</v>
      </c>
      <c r="T69">
        <f t="shared" si="18"/>
        <v>-1.7978313893510189</v>
      </c>
      <c r="U69" s="5">
        <f t="shared" si="19"/>
        <v>1.7978313893510189</v>
      </c>
      <c r="W69" s="32" t="s">
        <v>159</v>
      </c>
      <c r="X69" s="33" t="s">
        <v>160</v>
      </c>
      <c r="Y69" s="34">
        <v>2</v>
      </c>
      <c r="Z69" s="36">
        <v>34.5</v>
      </c>
      <c r="AA69" s="34" t="s">
        <v>163</v>
      </c>
      <c r="AB69">
        <v>28.437088000000006</v>
      </c>
    </row>
    <row r="70" spans="1:28" x14ac:dyDescent="0.2">
      <c r="A70" t="s">
        <v>70</v>
      </c>
      <c r="B70" s="1">
        <v>-5.4910147790744203E-5</v>
      </c>
      <c r="C70" s="1">
        <v>8.7946682971056799E-5</v>
      </c>
      <c r="D70" s="1">
        <f t="shared" si="12"/>
        <v>1.42856830761801E-4</v>
      </c>
      <c r="E70" s="6">
        <v>3</v>
      </c>
      <c r="F70" s="6">
        <v>82.116</v>
      </c>
      <c r="G70">
        <v>0.38241600000000003</v>
      </c>
      <c r="H70" s="2">
        <f t="shared" si="13"/>
        <v>7.8753411999999995E-2</v>
      </c>
      <c r="I70">
        <v>4.8737200000000023</v>
      </c>
      <c r="J70" s="7">
        <v>27</v>
      </c>
      <c r="K70">
        <v>40</v>
      </c>
      <c r="L70" s="8">
        <v>31.998000000000001</v>
      </c>
      <c r="M70" s="8">
        <v>1.2829999999999999</v>
      </c>
      <c r="N70" s="8">
        <f t="shared" si="10"/>
        <v>24.939984411535466</v>
      </c>
      <c r="O70" s="1">
        <f t="shared" si="14"/>
        <v>-2.2016913436941313E-3</v>
      </c>
      <c r="P70" s="10">
        <f t="shared" si="15"/>
        <v>-0.12807599528745983</v>
      </c>
      <c r="Q70" s="8">
        <f t="shared" si="11"/>
        <v>3.5263327161655688E-3</v>
      </c>
      <c r="R70" s="9">
        <f t="shared" si="16"/>
        <v>0.20513255576499212</v>
      </c>
      <c r="S70" s="10">
        <f t="shared" si="17"/>
        <v>0.33320855105245195</v>
      </c>
      <c r="T70">
        <f t="shared" si="18"/>
        <v>-1.3008235864362518</v>
      </c>
      <c r="U70" s="5">
        <f t="shared" si="19"/>
        <v>1.3008235864362518</v>
      </c>
      <c r="W70" s="32" t="s">
        <v>159</v>
      </c>
      <c r="X70" s="35">
        <v>13</v>
      </c>
      <c r="Y70" s="34">
        <v>2</v>
      </c>
      <c r="Z70" s="36">
        <v>34.5</v>
      </c>
      <c r="AA70" s="34" t="s">
        <v>163</v>
      </c>
      <c r="AB70">
        <v>10.930168000000004</v>
      </c>
    </row>
    <row r="71" spans="1:28" x14ac:dyDescent="0.2">
      <c r="A71" t="s">
        <v>71</v>
      </c>
      <c r="B71" s="1">
        <v>-3.4856212641367601E-5</v>
      </c>
      <c r="C71">
        <v>1.12367703617994E-4</v>
      </c>
      <c r="D71" s="1">
        <f t="shared" si="12"/>
        <v>1.4722391625936161E-4</v>
      </c>
      <c r="E71" s="6">
        <v>4</v>
      </c>
      <c r="F71" s="6">
        <v>81.135000000000005</v>
      </c>
      <c r="G71">
        <v>0.90772399999999998</v>
      </c>
      <c r="H71" s="2">
        <f t="shared" si="13"/>
        <v>8.0319796000000013E-2</v>
      </c>
      <c r="I71">
        <v>10.173112000000001</v>
      </c>
      <c r="J71" s="7">
        <v>27</v>
      </c>
      <c r="K71">
        <v>40</v>
      </c>
      <c r="L71" s="8">
        <v>31.998000000000001</v>
      </c>
      <c r="M71" s="8">
        <v>1.2829999999999999</v>
      </c>
      <c r="N71" s="8">
        <f t="shared" si="10"/>
        <v>24.939984411535466</v>
      </c>
      <c r="O71" s="1">
        <f t="shared" si="14"/>
        <v>-1.3976036258164456E-3</v>
      </c>
      <c r="P71" s="10">
        <f t="shared" si="15"/>
        <v>-3.9724211943402775E-2</v>
      </c>
      <c r="Q71" s="8">
        <f t="shared" si="11"/>
        <v>4.5055242121972089E-3</v>
      </c>
      <c r="R71" s="9">
        <f t="shared" si="16"/>
        <v>0.12806091470813119</v>
      </c>
      <c r="S71" s="10">
        <f t="shared" si="17"/>
        <v>0.16778512665153397</v>
      </c>
      <c r="T71">
        <f t="shared" si="18"/>
        <v>-2.1118748295194187</v>
      </c>
      <c r="U71" s="5">
        <f t="shared" si="19"/>
        <v>2.1118748295194187</v>
      </c>
      <c r="W71" s="32" t="s">
        <v>159</v>
      </c>
      <c r="X71" s="35">
        <v>14</v>
      </c>
      <c r="Y71" s="34">
        <v>2</v>
      </c>
      <c r="Z71" s="36">
        <v>34.5</v>
      </c>
      <c r="AA71" s="34" t="s">
        <v>163</v>
      </c>
      <c r="AB71">
        <v>25.266915999999998</v>
      </c>
    </row>
    <row r="72" spans="1:28" x14ac:dyDescent="0.2">
      <c r="A72" t="s">
        <v>72</v>
      </c>
      <c r="B72" s="1">
        <v>-4.9953547442434003E-5</v>
      </c>
      <c r="C72" s="1">
        <v>4.8423476332966398E-5</v>
      </c>
      <c r="D72" s="1">
        <f t="shared" si="12"/>
        <v>9.8377023775400401E-5</v>
      </c>
      <c r="E72" s="6">
        <v>5</v>
      </c>
      <c r="F72" s="6">
        <v>81.918999999999997</v>
      </c>
      <c r="G72">
        <v>0.82856800000000008</v>
      </c>
      <c r="H72" s="2">
        <f t="shared" si="13"/>
        <v>7.9571047999999991E-2</v>
      </c>
      <c r="I72">
        <v>7.8073120000000102</v>
      </c>
      <c r="J72" s="7">
        <v>27</v>
      </c>
      <c r="K72">
        <v>40</v>
      </c>
      <c r="L72" s="8">
        <v>31.998000000000001</v>
      </c>
      <c r="M72" s="8">
        <v>1.2829999999999999</v>
      </c>
      <c r="N72" s="8">
        <f t="shared" si="10"/>
        <v>24.939984411535466</v>
      </c>
      <c r="O72" s="1">
        <f t="shared" si="14"/>
        <v>-2.0029502271592856E-3</v>
      </c>
      <c r="P72" s="10">
        <f t="shared" si="15"/>
        <v>-7.348965369910257E-2</v>
      </c>
      <c r="Q72" s="8">
        <f t="shared" si="11"/>
        <v>1.9416001042313858E-3</v>
      </c>
      <c r="R72" s="9">
        <f t="shared" si="16"/>
        <v>7.1238674504895086E-2</v>
      </c>
      <c r="S72" s="10">
        <f t="shared" si="17"/>
        <v>0.14472832820399767</v>
      </c>
      <c r="T72">
        <f t="shared" si="18"/>
        <v>-0.98468506054318938</v>
      </c>
      <c r="U72" s="5">
        <f t="shared" si="19"/>
        <v>0.98468506054318938</v>
      </c>
      <c r="W72" s="32" t="s">
        <v>159</v>
      </c>
      <c r="X72" s="35">
        <v>15</v>
      </c>
      <c r="Y72" s="34">
        <v>2</v>
      </c>
      <c r="Z72" s="36">
        <v>34.5</v>
      </c>
      <c r="AA72" s="34" t="s">
        <v>163</v>
      </c>
      <c r="AB72">
        <v>8.9428960000000011</v>
      </c>
    </row>
    <row r="73" spans="1:28" x14ac:dyDescent="0.2">
      <c r="A73" t="s">
        <v>73</v>
      </c>
      <c r="B73" s="1">
        <v>-5.7090619418595799E-5</v>
      </c>
      <c r="C73" s="1">
        <v>5.9001224452660999E-5</v>
      </c>
      <c r="D73" s="1">
        <f t="shared" si="12"/>
        <v>1.1609184387125681E-4</v>
      </c>
      <c r="E73" s="6">
        <v>6</v>
      </c>
      <c r="F73" s="6">
        <v>82.186000000000007</v>
      </c>
      <c r="G73">
        <v>0.78847600000000007</v>
      </c>
      <c r="H73" s="2">
        <f t="shared" si="13"/>
        <v>8.0651196000000008E-2</v>
      </c>
      <c r="I73">
        <v>7.0975720000000049</v>
      </c>
      <c r="J73" s="7">
        <v>27</v>
      </c>
      <c r="K73">
        <v>40</v>
      </c>
      <c r="L73" s="8">
        <v>31.998000000000001</v>
      </c>
      <c r="M73" s="8">
        <v>1.2829999999999999</v>
      </c>
      <c r="N73" s="8">
        <f t="shared" si="10"/>
        <v>24.939984411535466</v>
      </c>
      <c r="O73" s="1">
        <f t="shared" si="14"/>
        <v>-2.2891200923200951E-3</v>
      </c>
      <c r="P73" s="10">
        <f t="shared" si="15"/>
        <v>-9.3642302415485948E-2</v>
      </c>
      <c r="Q73" s="8">
        <f t="shared" si="11"/>
        <v>2.3657282009114334E-3</v>
      </c>
      <c r="R73" s="9">
        <f t="shared" si="16"/>
        <v>9.6776152708555427E-2</v>
      </c>
      <c r="S73" s="10">
        <f t="shared" si="17"/>
        <v>0.19041845512404137</v>
      </c>
      <c r="T73">
        <f t="shared" si="18"/>
        <v>-1.016733090773253</v>
      </c>
      <c r="U73" s="5">
        <f t="shared" si="19"/>
        <v>1.016733090773253</v>
      </c>
      <c r="W73" s="32" t="s">
        <v>159</v>
      </c>
      <c r="X73" s="33" t="s">
        <v>160</v>
      </c>
      <c r="Y73" s="34">
        <v>2</v>
      </c>
      <c r="Z73" s="36">
        <v>34.5</v>
      </c>
      <c r="AA73" s="34" t="s">
        <v>164</v>
      </c>
      <c r="AB73">
        <v>24.793756000000009</v>
      </c>
    </row>
    <row r="74" spans="1:28" x14ac:dyDescent="0.2">
      <c r="A74" t="s">
        <v>74</v>
      </c>
      <c r="B74">
        <v>-1.7650311506709799E-4</v>
      </c>
      <c r="C74" s="1">
        <v>2.2462801976580901E-5</v>
      </c>
      <c r="D74" s="1">
        <f t="shared" si="12"/>
        <v>1.989659170436789E-4</v>
      </c>
      <c r="E74" s="6">
        <v>7</v>
      </c>
      <c r="F74" s="6">
        <v>82.891000000000005</v>
      </c>
      <c r="G74">
        <v>0.58493200000000001</v>
      </c>
      <c r="H74" s="2">
        <f t="shared" si="13"/>
        <v>8.0686968000000012E-2</v>
      </c>
      <c r="I74">
        <v>6.3878319999999977</v>
      </c>
      <c r="J74" s="7">
        <v>27</v>
      </c>
      <c r="K74">
        <v>40</v>
      </c>
      <c r="L74" s="8">
        <v>31.998000000000001</v>
      </c>
      <c r="M74" s="8">
        <v>1.2829999999999999</v>
      </c>
      <c r="N74" s="8">
        <f t="shared" si="10"/>
        <v>24.939984411535466</v>
      </c>
      <c r="O74" s="1">
        <f t="shared" si="14"/>
        <v>-7.0771140893520438E-3</v>
      </c>
      <c r="P74" s="10">
        <f t="shared" si="15"/>
        <v>-0.32181672295320735</v>
      </c>
      <c r="Q74" s="8">
        <f t="shared" si="11"/>
        <v>9.0067425888972104E-4</v>
      </c>
      <c r="R74" s="9">
        <f t="shared" si="16"/>
        <v>4.0956247812974925E-2</v>
      </c>
      <c r="S74" s="10">
        <f t="shared" si="17"/>
        <v>0.36277297076618226</v>
      </c>
      <c r="T74">
        <f t="shared" si="18"/>
        <v>-0.56363287687030805</v>
      </c>
      <c r="U74" s="5">
        <f t="shared" si="19"/>
        <v>0.56363287687030805</v>
      </c>
      <c r="W74" s="32" t="s">
        <v>159</v>
      </c>
      <c r="X74" s="35">
        <v>13</v>
      </c>
      <c r="Y74" s="34">
        <v>2</v>
      </c>
      <c r="Z74" s="36">
        <v>34.5</v>
      </c>
      <c r="AA74" s="34" t="s">
        <v>164</v>
      </c>
      <c r="AB74">
        <v>16.608087999999988</v>
      </c>
    </row>
    <row r="75" spans="1:28" x14ac:dyDescent="0.2">
      <c r="A75" t="s">
        <v>75</v>
      </c>
      <c r="B75" s="1">
        <v>-2.5840716247584398E-5</v>
      </c>
      <c r="C75" s="1">
        <v>3.25446053535796E-5</v>
      </c>
      <c r="D75" s="1">
        <f t="shared" si="12"/>
        <v>5.8385321601163998E-5</v>
      </c>
      <c r="E75" s="6">
        <v>8</v>
      </c>
      <c r="F75" s="6">
        <v>82.2</v>
      </c>
      <c r="G75">
        <v>0.91080800000000006</v>
      </c>
      <c r="H75" s="2">
        <f t="shared" si="13"/>
        <v>8.1752820000000004E-2</v>
      </c>
      <c r="I75">
        <v>7.7126799999999989</v>
      </c>
      <c r="J75" s="7">
        <v>27</v>
      </c>
      <c r="K75">
        <v>40</v>
      </c>
      <c r="L75" s="8">
        <v>31.998000000000001</v>
      </c>
      <c r="M75" s="8">
        <v>1.2829999999999999</v>
      </c>
      <c r="N75" s="8">
        <f t="shared" si="10"/>
        <v>24.939984411535466</v>
      </c>
      <c r="O75" s="1">
        <f t="shared" si="14"/>
        <v>-1.0361159742999805E-3</v>
      </c>
      <c r="P75" s="10">
        <f t="shared" si="15"/>
        <v>-3.9537417588420033E-2</v>
      </c>
      <c r="Q75" s="8">
        <f t="shared" si="11"/>
        <v>1.3049168281968444E-3</v>
      </c>
      <c r="R75" s="9">
        <f t="shared" si="16"/>
        <v>4.9794658932299958E-2</v>
      </c>
      <c r="S75" s="10">
        <f t="shared" si="17"/>
        <v>8.9332076520719991E-2</v>
      </c>
      <c r="T75">
        <f t="shared" si="18"/>
        <v>-1.1297156209170844</v>
      </c>
      <c r="U75" s="5">
        <f t="shared" si="19"/>
        <v>1.1297156209170844</v>
      </c>
      <c r="W75" s="32" t="s">
        <v>159</v>
      </c>
      <c r="X75" s="35">
        <v>14</v>
      </c>
      <c r="Y75" s="34">
        <v>2</v>
      </c>
      <c r="Z75" s="36">
        <v>34.5</v>
      </c>
      <c r="AA75" s="34" t="s">
        <v>164</v>
      </c>
      <c r="AB75">
        <v>11.687224000000004</v>
      </c>
    </row>
    <row r="76" spans="1:28" x14ac:dyDescent="0.2">
      <c r="A76" t="s">
        <v>76</v>
      </c>
      <c r="B76">
        <v>-1.5232332483538599E-4</v>
      </c>
      <c r="C76" s="1">
        <v>-5.31474262528349E-5</v>
      </c>
      <c r="D76" s="1">
        <f t="shared" si="12"/>
        <v>9.9175898582551099E-5</v>
      </c>
      <c r="E76" s="6">
        <v>1</v>
      </c>
      <c r="F76" s="6">
        <v>81.450999999999993</v>
      </c>
      <c r="G76">
        <v>0.679508</v>
      </c>
      <c r="H76" s="2">
        <f t="shared" si="13"/>
        <v>8.0265716000000001E-2</v>
      </c>
      <c r="I76">
        <v>6.7663599999999988</v>
      </c>
      <c r="J76" s="7">
        <v>27</v>
      </c>
      <c r="K76">
        <v>40</v>
      </c>
      <c r="L76" s="8">
        <v>31.998000000000001</v>
      </c>
      <c r="M76" s="8">
        <v>1.2829999999999999</v>
      </c>
      <c r="N76" s="8">
        <f t="shared" si="10"/>
        <v>24.939984411535466</v>
      </c>
      <c r="O76" s="1">
        <f t="shared" si="14"/>
        <v>-6.1075950298081199E-3</v>
      </c>
      <c r="P76" s="10">
        <f t="shared" si="15"/>
        <v>-0.26082409998583056</v>
      </c>
      <c r="Q76" s="8">
        <f t="shared" si="11"/>
        <v>-2.1310128096252005E-3</v>
      </c>
      <c r="R76" s="9">
        <f t="shared" si="16"/>
        <v>-9.1004641829736874E-2</v>
      </c>
      <c r="S76" s="10">
        <f t="shared" si="17"/>
        <v>0.16981945815609367</v>
      </c>
      <c r="T76">
        <f t="shared" si="18"/>
        <v>-0.32554403171585605</v>
      </c>
      <c r="U76" s="5">
        <f t="shared" si="19"/>
        <v>0.32554403171585605</v>
      </c>
      <c r="W76" s="32" t="s">
        <v>159</v>
      </c>
      <c r="X76" s="35">
        <v>15</v>
      </c>
      <c r="Y76" s="34">
        <v>2</v>
      </c>
      <c r="Z76" s="36">
        <v>34.5</v>
      </c>
      <c r="AA76" s="34" t="s">
        <v>164</v>
      </c>
      <c r="AB76">
        <v>18.264147999999992</v>
      </c>
    </row>
    <row r="77" spans="1:28" x14ac:dyDescent="0.2">
      <c r="A77" t="s">
        <v>77</v>
      </c>
      <c r="B77">
        <v>-1.5147932433093301E-4</v>
      </c>
      <c r="C77" s="1">
        <v>-1.2218387951572399E-5</v>
      </c>
      <c r="D77" s="1">
        <f t="shared" si="12"/>
        <v>1.392609363793606E-4</v>
      </c>
      <c r="E77" s="6">
        <v>2</v>
      </c>
      <c r="F77" s="6">
        <v>81.305000000000007</v>
      </c>
      <c r="G77">
        <v>1.484432</v>
      </c>
      <c r="H77" s="2">
        <f t="shared" si="13"/>
        <v>7.9174984000000004E-2</v>
      </c>
      <c r="I77">
        <v>10.125796000000006</v>
      </c>
      <c r="J77" s="7">
        <v>27</v>
      </c>
      <c r="K77">
        <v>40</v>
      </c>
      <c r="L77" s="8">
        <v>31.998000000000001</v>
      </c>
      <c r="M77" s="8">
        <v>1.2829999999999999</v>
      </c>
      <c r="N77" s="8">
        <f t="shared" si="10"/>
        <v>24.939984411535466</v>
      </c>
      <c r="O77" s="1">
        <f t="shared" si="14"/>
        <v>-6.0737537695039383E-3</v>
      </c>
      <c r="P77" s="10">
        <f t="shared" si="15"/>
        <v>-0.17096944152079396</v>
      </c>
      <c r="Q77" s="8">
        <f t="shared" si="11"/>
        <v>-4.8991161140906887E-4</v>
      </c>
      <c r="R77" s="9">
        <f t="shared" si="16"/>
        <v>-1.379046925111053E-2</v>
      </c>
      <c r="S77" s="10">
        <f t="shared" si="17"/>
        <v>0.15717897226968344</v>
      </c>
      <c r="T77">
        <f t="shared" si="18"/>
        <v>-0.45966978330032948</v>
      </c>
      <c r="U77" s="5">
        <f t="shared" si="19"/>
        <v>0.45966978330032948</v>
      </c>
      <c r="W77" s="32" t="s">
        <v>159</v>
      </c>
      <c r="X77" s="33" t="s">
        <v>160</v>
      </c>
      <c r="Y77" s="34">
        <v>3</v>
      </c>
      <c r="Z77" s="36">
        <v>27</v>
      </c>
      <c r="AA77" s="34" t="s">
        <v>163</v>
      </c>
      <c r="AB77">
        <v>16.276876000000001</v>
      </c>
    </row>
    <row r="78" spans="1:28" x14ac:dyDescent="0.2">
      <c r="A78" t="s">
        <v>78</v>
      </c>
      <c r="B78" s="1">
        <v>-8.0408748180940996E-5</v>
      </c>
      <c r="C78" s="1">
        <v>2.9262650906753198E-5</v>
      </c>
      <c r="D78" s="1">
        <f t="shared" si="12"/>
        <v>1.0967139908769419E-4</v>
      </c>
      <c r="E78" s="6">
        <v>3</v>
      </c>
      <c r="F78" s="6">
        <v>82.116</v>
      </c>
      <c r="G78">
        <v>0.37624800000000003</v>
      </c>
      <c r="H78" s="2">
        <f t="shared" si="13"/>
        <v>8.0466059999999992E-2</v>
      </c>
      <c r="I78">
        <v>6.3405159999999983</v>
      </c>
      <c r="J78" s="7">
        <v>27</v>
      </c>
      <c r="K78">
        <v>40</v>
      </c>
      <c r="L78" s="8">
        <v>31.998000000000001</v>
      </c>
      <c r="M78" s="8">
        <v>1.2829999999999999</v>
      </c>
      <c r="N78" s="8">
        <f t="shared" si="10"/>
        <v>24.939984411535466</v>
      </c>
      <c r="O78" s="1">
        <f t="shared" si="14"/>
        <v>-3.2240897529891648E-3</v>
      </c>
      <c r="P78" s="10">
        <f t="shared" si="15"/>
        <v>-0.14729830793485593</v>
      </c>
      <c r="Q78" s="8">
        <f t="shared" si="11"/>
        <v>1.17332274246404E-3</v>
      </c>
      <c r="R78" s="9">
        <f t="shared" si="16"/>
        <v>5.3605348444844804E-2</v>
      </c>
      <c r="S78" s="10">
        <f t="shared" si="17"/>
        <v>0.20090365637970073</v>
      </c>
      <c r="T78">
        <f t="shared" si="18"/>
        <v>-0.68196186092155331</v>
      </c>
      <c r="U78" s="5">
        <f t="shared" si="19"/>
        <v>0.68196186092155331</v>
      </c>
      <c r="W78" s="32" t="s">
        <v>159</v>
      </c>
      <c r="X78" s="35">
        <v>13</v>
      </c>
      <c r="Y78" s="34">
        <v>3</v>
      </c>
      <c r="Z78" s="36">
        <v>27</v>
      </c>
      <c r="AA78" s="34" t="s">
        <v>163</v>
      </c>
      <c r="AB78">
        <v>19.352415999999998</v>
      </c>
    </row>
    <row r="79" spans="1:28" x14ac:dyDescent="0.2">
      <c r="A79" t="s">
        <v>79</v>
      </c>
      <c r="B79" s="1">
        <v>-5.1575034361389697E-5</v>
      </c>
      <c r="C79" s="1">
        <v>3.9508077212641102E-5</v>
      </c>
      <c r="D79" s="1">
        <f t="shared" si="12"/>
        <v>9.1083111574030798E-5</v>
      </c>
      <c r="E79" s="6">
        <v>4</v>
      </c>
      <c r="F79" s="6">
        <v>81.135000000000005</v>
      </c>
      <c r="G79">
        <v>0.707264</v>
      </c>
      <c r="H79" s="2">
        <f t="shared" si="13"/>
        <v>7.9343196000000005E-2</v>
      </c>
      <c r="I79">
        <v>7.0975719999999995</v>
      </c>
      <c r="J79" s="7">
        <v>27</v>
      </c>
      <c r="K79">
        <v>40</v>
      </c>
      <c r="L79" s="8">
        <v>31.998000000000001</v>
      </c>
      <c r="M79" s="8">
        <v>1.2829999999999999</v>
      </c>
      <c r="N79" s="8">
        <f t="shared" si="10"/>
        <v>24.939984411535466</v>
      </c>
      <c r="O79" s="1">
        <f t="shared" si="14"/>
        <v>-2.0679657817883296E-3</v>
      </c>
      <c r="P79" s="10">
        <f t="shared" si="15"/>
        <v>-8.32234532660759E-2</v>
      </c>
      <c r="Q79" s="8">
        <f t="shared" si="11"/>
        <v>1.5841259786179927E-3</v>
      </c>
      <c r="R79" s="9">
        <f t="shared" si="16"/>
        <v>6.3751748462241062E-2</v>
      </c>
      <c r="S79" s="10">
        <f t="shared" si="17"/>
        <v>0.14697520172831696</v>
      </c>
      <c r="T79">
        <f t="shared" si="18"/>
        <v>-0.88301552002666039</v>
      </c>
      <c r="U79" s="5">
        <f t="shared" si="19"/>
        <v>0.88301552002666039</v>
      </c>
      <c r="W79" s="32" t="s">
        <v>159</v>
      </c>
      <c r="X79" s="35">
        <v>14</v>
      </c>
      <c r="Y79" s="34">
        <v>3</v>
      </c>
      <c r="Z79" s="36">
        <v>27</v>
      </c>
      <c r="AA79" s="34" t="s">
        <v>163</v>
      </c>
      <c r="AB79">
        <v>15.898348000000002</v>
      </c>
    </row>
    <row r="80" spans="1:28" x14ac:dyDescent="0.2">
      <c r="A80" t="s">
        <v>80</v>
      </c>
      <c r="B80">
        <v>-2.7263225562574201E-4</v>
      </c>
      <c r="C80">
        <v>-1.9987281187789101E-4</v>
      </c>
      <c r="D80" s="1">
        <f t="shared" si="12"/>
        <v>7.2759443747851004E-5</v>
      </c>
      <c r="E80" s="6">
        <v>5</v>
      </c>
      <c r="F80" s="6">
        <v>81.918999999999997</v>
      </c>
      <c r="G80">
        <v>1.3096719999999999</v>
      </c>
      <c r="H80" s="2">
        <f t="shared" si="13"/>
        <v>7.9700575999999995E-2</v>
      </c>
      <c r="I80">
        <v>10.457007999999991</v>
      </c>
      <c r="J80" s="7">
        <v>27</v>
      </c>
      <c r="K80">
        <v>40</v>
      </c>
      <c r="L80" s="8">
        <v>31.998000000000001</v>
      </c>
      <c r="M80" s="8">
        <v>1.2829999999999999</v>
      </c>
      <c r="N80" s="8">
        <f t="shared" ref="N80:N139" si="20">L80/M80</f>
        <v>24.939984411535466</v>
      </c>
      <c r="O80" s="1">
        <f t="shared" si="14"/>
        <v>-1.0931532719789579E-2</v>
      </c>
      <c r="P80" s="10">
        <f t="shared" si="15"/>
        <v>-0.29994220484370637</v>
      </c>
      <c r="Q80" s="8">
        <f t="shared" si="11"/>
        <v>-8.0141514356939225E-3</v>
      </c>
      <c r="R80" s="9">
        <f t="shared" si="16"/>
        <v>-0.21989434722376797</v>
      </c>
      <c r="S80" s="10">
        <f t="shared" si="17"/>
        <v>8.0047857619938406E-2</v>
      </c>
      <c r="T80">
        <f t="shared" si="18"/>
        <v>-0.13343880308816439</v>
      </c>
      <c r="U80" s="5">
        <f t="shared" si="19"/>
        <v>0.13343880308816439</v>
      </c>
      <c r="W80" s="32" t="s">
        <v>159</v>
      </c>
      <c r="X80" s="35">
        <v>15</v>
      </c>
      <c r="Y80" s="34">
        <v>3</v>
      </c>
      <c r="Z80" s="36">
        <v>27</v>
      </c>
      <c r="AA80" s="34" t="s">
        <v>163</v>
      </c>
      <c r="AB80">
        <v>10.173112000000001</v>
      </c>
    </row>
    <row r="81" spans="1:28" x14ac:dyDescent="0.2">
      <c r="A81" t="s">
        <v>81</v>
      </c>
      <c r="B81">
        <v>-1.6850288945627901E-4</v>
      </c>
      <c r="C81">
        <v>-1.6618280396608301E-4</v>
      </c>
      <c r="D81" s="1">
        <f t="shared" si="12"/>
        <v>2.3200854901959955E-6</v>
      </c>
      <c r="E81" s="6">
        <v>6</v>
      </c>
      <c r="F81" s="6">
        <v>82.186000000000007</v>
      </c>
      <c r="G81">
        <v>0.83268000000000009</v>
      </c>
      <c r="H81" s="2">
        <f t="shared" si="13"/>
        <v>7.8793600000000005E-2</v>
      </c>
      <c r="I81">
        <v>7.0975719999999942</v>
      </c>
      <c r="J81" s="7">
        <v>27</v>
      </c>
      <c r="K81">
        <v>40</v>
      </c>
      <c r="L81" s="8">
        <v>31.998000000000001</v>
      </c>
      <c r="M81" s="8">
        <v>1.2829999999999999</v>
      </c>
      <c r="N81" s="8">
        <f t="shared" si="20"/>
        <v>24.939984411535466</v>
      </c>
      <c r="O81" s="1">
        <f t="shared" si="14"/>
        <v>-6.7563349950748777E-3</v>
      </c>
      <c r="P81" s="10">
        <f t="shared" si="15"/>
        <v>-0.27001930314261785</v>
      </c>
      <c r="Q81" s="8">
        <f t="shared" si="11"/>
        <v>-6.6633082532809697E-3</v>
      </c>
      <c r="R81" s="9">
        <f t="shared" si="16"/>
        <v>-0.26630145670499594</v>
      </c>
      <c r="S81" s="10">
        <f t="shared" si="17"/>
        <v>3.7178464376219078E-3</v>
      </c>
      <c r="T81">
        <f t="shared" si="18"/>
        <v>-6.8844086225536049E-3</v>
      </c>
      <c r="U81" s="5">
        <f t="shared" si="19"/>
        <v>6.8844086225536049E-3</v>
      </c>
      <c r="W81" s="32" t="s">
        <v>159</v>
      </c>
      <c r="X81" s="33" t="s">
        <v>160</v>
      </c>
      <c r="Y81" s="34">
        <v>3</v>
      </c>
      <c r="Z81" s="36">
        <v>27</v>
      </c>
      <c r="AA81" s="34" t="s">
        <v>164</v>
      </c>
      <c r="AB81">
        <v>15.992980000000014</v>
      </c>
    </row>
    <row r="82" spans="1:28" x14ac:dyDescent="0.2">
      <c r="A82" t="s">
        <v>82</v>
      </c>
      <c r="B82">
        <v>-2.3809382088068299E-4</v>
      </c>
      <c r="C82">
        <v>-1.4956490025101101E-4</v>
      </c>
      <c r="D82" s="1">
        <f t="shared" si="12"/>
        <v>8.8528920629671987E-5</v>
      </c>
      <c r="E82" s="6">
        <v>7</v>
      </c>
      <c r="F82" s="6">
        <v>82.891000000000005</v>
      </c>
      <c r="G82">
        <v>2.8999880000000005</v>
      </c>
      <c r="H82" s="2">
        <f t="shared" si="13"/>
        <v>8.0084560000000013E-2</v>
      </c>
      <c r="I82">
        <v>16.655403999999979</v>
      </c>
      <c r="J82" s="7">
        <v>27</v>
      </c>
      <c r="K82">
        <v>40</v>
      </c>
      <c r="L82" s="8">
        <v>31.998000000000001</v>
      </c>
      <c r="M82" s="8">
        <v>1.2829999999999999</v>
      </c>
      <c r="N82" s="8">
        <f t="shared" si="20"/>
        <v>24.939984411535466</v>
      </c>
      <c r="O82" s="1">
        <f t="shared" si="14"/>
        <v>-9.5466707978597489E-3</v>
      </c>
      <c r="P82" s="10">
        <f t="shared" si="15"/>
        <v>-0.16525251198477162</v>
      </c>
      <c r="Q82" s="8">
        <f t="shared" ref="Q82:Q139" si="21">(C82*1000)/N82</f>
        <v>-5.9969925314721896E-3</v>
      </c>
      <c r="R82" s="9">
        <f t="shared" si="16"/>
        <v>-0.10380771487395044</v>
      </c>
      <c r="S82" s="10">
        <f t="shared" si="17"/>
        <v>6.1444797110821181E-2</v>
      </c>
      <c r="T82">
        <f t="shared" si="18"/>
        <v>-0.18591183992556634</v>
      </c>
      <c r="U82" s="5">
        <f t="shared" si="19"/>
        <v>0.18591183992556634</v>
      </c>
      <c r="W82" s="32" t="s">
        <v>159</v>
      </c>
      <c r="X82" s="35">
        <v>13</v>
      </c>
      <c r="Y82" s="34">
        <v>3</v>
      </c>
      <c r="Z82" s="36">
        <v>27</v>
      </c>
      <c r="AA82" s="34" t="s">
        <v>164</v>
      </c>
      <c r="AB82">
        <v>9.9365320000000068</v>
      </c>
    </row>
    <row r="83" spans="1:28" x14ac:dyDescent="0.2">
      <c r="A83" t="s">
        <v>83</v>
      </c>
      <c r="B83">
        <v>-3.3478342734933502E-4</v>
      </c>
      <c r="C83">
        <v>-3.3407001669436302E-4</v>
      </c>
      <c r="D83" s="1">
        <f t="shared" si="12"/>
        <v>7.1341065497200051E-7</v>
      </c>
      <c r="E83" s="6">
        <v>8</v>
      </c>
      <c r="F83" s="6">
        <v>82.2</v>
      </c>
      <c r="G83">
        <v>1.003328</v>
      </c>
      <c r="H83" s="2">
        <f t="shared" si="13"/>
        <v>8.162432E-2</v>
      </c>
      <c r="I83">
        <v>9.8892160000000011</v>
      </c>
      <c r="J83" s="7">
        <v>27</v>
      </c>
      <c r="K83">
        <v>40</v>
      </c>
      <c r="L83" s="8">
        <v>31.998000000000001</v>
      </c>
      <c r="M83" s="8">
        <v>1.2829999999999999</v>
      </c>
      <c r="N83" s="8">
        <f t="shared" si="20"/>
        <v>24.939984411535466</v>
      </c>
      <c r="O83" s="1">
        <f t="shared" si="14"/>
        <v>-1.3423562012913207E-2</v>
      </c>
      <c r="P83" s="10">
        <f t="shared" si="15"/>
        <v>-0.39886689062254654</v>
      </c>
      <c r="Q83" s="8">
        <f t="shared" si="21"/>
        <v>-1.3394956916646907E-2</v>
      </c>
      <c r="R83" s="9">
        <f t="shared" si="16"/>
        <v>-0.3980169205629811</v>
      </c>
      <c r="S83" s="10">
        <f t="shared" si="17"/>
        <v>8.4997005956544136E-4</v>
      </c>
      <c r="T83">
        <f t="shared" si="18"/>
        <v>-1.0654808402858641E-3</v>
      </c>
      <c r="U83" s="5">
        <f t="shared" si="19"/>
        <v>1.0654808402858641E-3</v>
      </c>
      <c r="W83" s="32" t="s">
        <v>159</v>
      </c>
      <c r="X83" s="35">
        <v>14</v>
      </c>
      <c r="Y83" s="34">
        <v>3</v>
      </c>
      <c r="Z83" s="36">
        <v>27</v>
      </c>
      <c r="AA83" s="34" t="s">
        <v>164</v>
      </c>
      <c r="AB83">
        <v>18.406095999999998</v>
      </c>
    </row>
    <row r="84" spans="1:28" s="25" customFormat="1" x14ac:dyDescent="0.2">
      <c r="A84" s="25" t="s">
        <v>84</v>
      </c>
      <c r="B84" s="25">
        <v>-6.3014087923766895E-4</v>
      </c>
      <c r="C84" s="25">
        <v>3.6932508665282201E-4</v>
      </c>
      <c r="D84" s="26">
        <f t="shared" si="12"/>
        <v>9.9946596589049102E-4</v>
      </c>
      <c r="E84" s="27">
        <v>1</v>
      </c>
      <c r="F84" s="27">
        <v>81.450999999999993</v>
      </c>
      <c r="G84" s="25">
        <v>3.127176</v>
      </c>
      <c r="H84" s="28">
        <f t="shared" si="13"/>
        <v>7.8960156000000004E-2</v>
      </c>
      <c r="I84">
        <v>17.696355999999991</v>
      </c>
      <c r="J84" s="29">
        <v>27</v>
      </c>
      <c r="K84" s="25">
        <v>40</v>
      </c>
      <c r="L84" s="25">
        <v>31.998000000000001</v>
      </c>
      <c r="M84" s="25">
        <v>1.2829999999999999</v>
      </c>
      <c r="N84" s="25">
        <f t="shared" si="20"/>
        <v>24.939984411535466</v>
      </c>
      <c r="O84" s="26">
        <f t="shared" si="14"/>
        <v>-2.526629002006154E-2</v>
      </c>
      <c r="P84" s="30">
        <f t="shared" si="15"/>
        <v>-0.40585240969898506</v>
      </c>
      <c r="Q84" s="25">
        <f t="shared" si="21"/>
        <v>1.4808553227563304E-2</v>
      </c>
      <c r="R84" s="31">
        <f t="shared" si="16"/>
        <v>0.23786978645421292</v>
      </c>
      <c r="S84" s="30">
        <f t="shared" si="17"/>
        <v>0.64372219615319803</v>
      </c>
      <c r="T84" s="25">
        <f t="shared" si="18"/>
        <v>-0.79304961701550281</v>
      </c>
      <c r="U84" s="31">
        <f t="shared" si="19"/>
        <v>0.79304961701550281</v>
      </c>
      <c r="W84" s="32" t="s">
        <v>159</v>
      </c>
      <c r="X84" s="35">
        <v>15</v>
      </c>
      <c r="Y84" s="34">
        <v>3</v>
      </c>
      <c r="Z84" s="36">
        <v>27</v>
      </c>
      <c r="AA84" s="34" t="s">
        <v>164</v>
      </c>
      <c r="AB84">
        <v>21.339687999999988</v>
      </c>
    </row>
    <row r="85" spans="1:28" s="25" customFormat="1" x14ac:dyDescent="0.2">
      <c r="A85" s="25" t="s">
        <v>85</v>
      </c>
      <c r="B85" s="25">
        <v>-4.2643284746708303E-4</v>
      </c>
      <c r="C85" s="25">
        <v>3.1485112356173598E-4</v>
      </c>
      <c r="D85" s="26">
        <f t="shared" si="12"/>
        <v>7.4128397102881901E-4</v>
      </c>
      <c r="E85" s="27">
        <v>2</v>
      </c>
      <c r="F85" s="27">
        <v>81.305000000000007</v>
      </c>
      <c r="G85" s="25">
        <v>3.1446520000000002</v>
      </c>
      <c r="H85" s="28">
        <f t="shared" si="13"/>
        <v>8.0496992000000003E-2</v>
      </c>
      <c r="I85">
        <v>15.803715999999993</v>
      </c>
      <c r="J85" s="29">
        <v>27</v>
      </c>
      <c r="K85" s="25">
        <v>40</v>
      </c>
      <c r="L85" s="25">
        <v>31.998000000000001</v>
      </c>
      <c r="M85" s="25">
        <v>1.2829999999999999</v>
      </c>
      <c r="N85" s="25">
        <f t="shared" si="20"/>
        <v>24.939984411535466</v>
      </c>
      <c r="O85" s="26">
        <f t="shared" si="14"/>
        <v>-1.7098360625672465E-2</v>
      </c>
      <c r="P85" s="30">
        <f t="shared" si="15"/>
        <v>-0.31352877731998852</v>
      </c>
      <c r="Q85" s="25">
        <f t="shared" si="21"/>
        <v>1.262435125725693E-2</v>
      </c>
      <c r="R85" s="31">
        <f t="shared" si="16"/>
        <v>0.231489877936187</v>
      </c>
      <c r="S85" s="30">
        <f t="shared" si="17"/>
        <v>0.54501865525617554</v>
      </c>
      <c r="T85" s="25">
        <f t="shared" si="18"/>
        <v>-0.86916846982107754</v>
      </c>
      <c r="U85" s="31">
        <f t="shared" si="19"/>
        <v>0.86916846982107754</v>
      </c>
      <c r="W85" s="32" t="s">
        <v>159</v>
      </c>
      <c r="X85" s="33" t="s">
        <v>160</v>
      </c>
      <c r="Y85" s="34">
        <v>3</v>
      </c>
      <c r="Z85" s="36">
        <v>29.5</v>
      </c>
      <c r="AA85" s="34" t="s">
        <v>163</v>
      </c>
      <c r="AB85">
        <v>38.61002800000005</v>
      </c>
    </row>
    <row r="86" spans="1:28" s="25" customFormat="1" x14ac:dyDescent="0.2">
      <c r="A86" s="25" t="s">
        <v>86</v>
      </c>
      <c r="B86" s="25">
        <v>-5.4604025082354403E-4</v>
      </c>
      <c r="C86" s="25">
        <v>3.1908182711138598E-4</v>
      </c>
      <c r="D86" s="26">
        <f t="shared" si="12"/>
        <v>8.6512207793493006E-4</v>
      </c>
      <c r="E86" s="27">
        <v>3</v>
      </c>
      <c r="F86" s="27">
        <v>82.116</v>
      </c>
      <c r="G86" s="25">
        <v>2.0015160000000001</v>
      </c>
      <c r="H86" s="28">
        <f t="shared" si="13"/>
        <v>8.0585307999999994E-2</v>
      </c>
      <c r="I86">
        <v>28.342456000000016</v>
      </c>
      <c r="J86" s="29">
        <v>27</v>
      </c>
      <c r="K86" s="25">
        <v>40</v>
      </c>
      <c r="L86" s="25">
        <v>31.998000000000001</v>
      </c>
      <c r="M86" s="25">
        <v>1.2829999999999999</v>
      </c>
      <c r="N86" s="25">
        <f t="shared" si="20"/>
        <v>24.939984411535466</v>
      </c>
      <c r="O86" s="26">
        <f t="shared" si="14"/>
        <v>-2.1894169692062218E-2</v>
      </c>
      <c r="P86" s="30">
        <f t="shared" si="15"/>
        <v>-0.22410387684612626</v>
      </c>
      <c r="Q86" s="25">
        <f t="shared" si="21"/>
        <v>1.27939866299115E-2</v>
      </c>
      <c r="R86" s="31">
        <f t="shared" si="16"/>
        <v>0.13095641645274064</v>
      </c>
      <c r="S86" s="30">
        <f t="shared" si="17"/>
        <v>0.3550602932988669</v>
      </c>
      <c r="T86" s="25">
        <f t="shared" si="18"/>
        <v>-0.79217793617791288</v>
      </c>
      <c r="U86" s="31">
        <f t="shared" si="19"/>
        <v>0.79217793617791288</v>
      </c>
      <c r="W86" s="32" t="s">
        <v>159</v>
      </c>
      <c r="X86" s="35">
        <v>13</v>
      </c>
      <c r="Y86" s="34">
        <v>3</v>
      </c>
      <c r="Z86" s="36">
        <v>29.5</v>
      </c>
      <c r="AA86" s="34" t="s">
        <v>163</v>
      </c>
      <c r="AB86">
        <v>5.7727240000000029</v>
      </c>
    </row>
    <row r="87" spans="1:28" s="25" customFormat="1" x14ac:dyDescent="0.2">
      <c r="A87" s="25" t="s">
        <v>87</v>
      </c>
      <c r="B87" s="25">
        <v>-9.1462162607940599E-4</v>
      </c>
      <c r="C87" s="25">
        <v>4.01708354158991E-4</v>
      </c>
      <c r="D87" s="26">
        <f t="shared" si="12"/>
        <v>1.3163299802383969E-3</v>
      </c>
      <c r="E87" s="27">
        <v>4</v>
      </c>
      <c r="F87" s="27">
        <v>81.135000000000005</v>
      </c>
      <c r="G87" s="25">
        <v>1.7609640000000002</v>
      </c>
      <c r="H87" s="28">
        <f t="shared" si="13"/>
        <v>7.8419024000000004E-2</v>
      </c>
      <c r="I87">
        <v>15.472504000000008</v>
      </c>
      <c r="J87" s="29">
        <v>27</v>
      </c>
      <c r="K87" s="25">
        <v>40</v>
      </c>
      <c r="L87" s="25">
        <v>31.998000000000001</v>
      </c>
      <c r="M87" s="25">
        <v>1.2829999999999999</v>
      </c>
      <c r="N87" s="25">
        <f t="shared" si="20"/>
        <v>24.939984411535466</v>
      </c>
      <c r="O87" s="26">
        <f t="shared" si="14"/>
        <v>-3.6672902877050995E-2</v>
      </c>
      <c r="P87" s="30">
        <f t="shared" si="15"/>
        <v>-0.66912709818103566</v>
      </c>
      <c r="Q87" s="25">
        <f t="shared" si="21"/>
        <v>1.61070010121253E-2</v>
      </c>
      <c r="R87" s="31">
        <f t="shared" si="16"/>
        <v>0.29388540317561779</v>
      </c>
      <c r="S87" s="30">
        <f t="shared" si="17"/>
        <v>0.96301250135665351</v>
      </c>
      <c r="T87" s="25">
        <f t="shared" si="18"/>
        <v>-0.71960357305399825</v>
      </c>
      <c r="U87" s="31">
        <f t="shared" si="19"/>
        <v>0.71960357305399825</v>
      </c>
      <c r="W87" s="32" t="s">
        <v>159</v>
      </c>
      <c r="X87" s="35">
        <v>14</v>
      </c>
      <c r="Y87" s="34">
        <v>3</v>
      </c>
      <c r="Z87" s="36">
        <v>29.5</v>
      </c>
      <c r="AA87" s="34" t="s">
        <v>163</v>
      </c>
      <c r="AB87">
        <v>11.166747999999998</v>
      </c>
    </row>
    <row r="88" spans="1:28" s="25" customFormat="1" x14ac:dyDescent="0.2">
      <c r="A88" s="25" t="s">
        <v>88</v>
      </c>
      <c r="B88" s="25">
        <v>-7.1399890289836196E-4</v>
      </c>
      <c r="C88" s="25">
        <v>3.65920236707773E-4</v>
      </c>
      <c r="D88" s="26">
        <f t="shared" si="12"/>
        <v>1.079919139606135E-3</v>
      </c>
      <c r="E88" s="27">
        <v>5</v>
      </c>
      <c r="F88" s="27">
        <v>81.918999999999997</v>
      </c>
      <c r="G88" s="25">
        <v>3.3625880000000001</v>
      </c>
      <c r="H88" s="28">
        <f t="shared" si="13"/>
        <v>7.8268571999999995E-2</v>
      </c>
      <c r="I88">
        <v>37.569075999999995</v>
      </c>
      <c r="J88" s="29">
        <v>27</v>
      </c>
      <c r="K88" s="25">
        <v>40</v>
      </c>
      <c r="L88" s="25">
        <v>31.998000000000001</v>
      </c>
      <c r="M88" s="25">
        <v>1.2829999999999999</v>
      </c>
      <c r="N88" s="25">
        <f t="shared" si="20"/>
        <v>24.939984411535466</v>
      </c>
      <c r="O88" s="26">
        <f t="shared" si="14"/>
        <v>-2.8628682805756558E-2</v>
      </c>
      <c r="P88" s="30">
        <f t="shared" si="15"/>
        <v>-0.21471419837983421</v>
      </c>
      <c r="Q88" s="25">
        <f t="shared" si="21"/>
        <v>1.4672031492470552E-2</v>
      </c>
      <c r="R88" s="31">
        <f t="shared" si="16"/>
        <v>0.11003976333399619</v>
      </c>
      <c r="S88" s="30">
        <f t="shared" si="17"/>
        <v>0.32475396171383042</v>
      </c>
      <c r="T88" s="25">
        <f t="shared" si="18"/>
        <v>-0.75624705809937498</v>
      </c>
      <c r="U88" s="31">
        <f t="shared" si="19"/>
        <v>0.75624705809937498</v>
      </c>
      <c r="W88" s="32" t="s">
        <v>159</v>
      </c>
      <c r="X88" s="35">
        <v>15</v>
      </c>
      <c r="Y88" s="34">
        <v>3</v>
      </c>
      <c r="Z88" s="36">
        <v>29.5</v>
      </c>
      <c r="AA88" s="34" t="s">
        <v>163</v>
      </c>
      <c r="AB88">
        <v>15.425188000000013</v>
      </c>
    </row>
    <row r="89" spans="1:28" s="25" customFormat="1" x14ac:dyDescent="0.2">
      <c r="A89" s="25" t="s">
        <v>89</v>
      </c>
      <c r="B89" s="25">
        <v>-2.2069612387232E-4</v>
      </c>
      <c r="C89" s="26">
        <v>7.0075488321660705E-5</v>
      </c>
      <c r="D89" s="26">
        <f t="shared" si="12"/>
        <v>2.9077161219398073E-4</v>
      </c>
      <c r="E89" s="27">
        <v>6</v>
      </c>
      <c r="F89" s="27">
        <v>82.186000000000007</v>
      </c>
      <c r="G89" s="25">
        <v>0.81520400000000004</v>
      </c>
      <c r="H89" s="28">
        <f t="shared" si="13"/>
        <v>8.1020248000000003E-2</v>
      </c>
      <c r="I89">
        <v>8.1858400000000007</v>
      </c>
      <c r="J89" s="29">
        <v>27</v>
      </c>
      <c r="K89" s="25">
        <v>40</v>
      </c>
      <c r="L89" s="25">
        <v>31.998000000000001</v>
      </c>
      <c r="M89" s="25">
        <v>1.2829999999999999</v>
      </c>
      <c r="N89" s="25">
        <f t="shared" si="20"/>
        <v>24.939984411535466</v>
      </c>
      <c r="O89" s="26">
        <f t="shared" si="14"/>
        <v>-8.849088284523611E-3</v>
      </c>
      <c r="P89" s="30">
        <f t="shared" si="15"/>
        <v>-0.31530535395140769</v>
      </c>
      <c r="Q89" s="25">
        <f t="shared" si="21"/>
        <v>2.8097647201915953E-3</v>
      </c>
      <c r="R89" s="31">
        <f t="shared" si="16"/>
        <v>0.10011583466396425</v>
      </c>
      <c r="S89" s="30">
        <f t="shared" si="17"/>
        <v>0.41542118861537192</v>
      </c>
      <c r="T89" s="25">
        <f t="shared" si="18"/>
        <v>-0.65876012476368107</v>
      </c>
      <c r="U89" s="31">
        <f t="shared" si="19"/>
        <v>0.65876012476368107</v>
      </c>
      <c r="W89" s="32" t="s">
        <v>159</v>
      </c>
      <c r="X89" s="33" t="s">
        <v>160</v>
      </c>
      <c r="Y89" s="34">
        <v>3</v>
      </c>
      <c r="Z89" s="36">
        <v>29.5</v>
      </c>
      <c r="AA89" s="34" t="s">
        <v>164</v>
      </c>
      <c r="AB89">
        <v>14.47886799999999</v>
      </c>
    </row>
    <row r="90" spans="1:28" s="25" customFormat="1" x14ac:dyDescent="0.2">
      <c r="A90" s="25" t="s">
        <v>90</v>
      </c>
      <c r="B90" s="25">
        <v>-1.4868435673263399E-4</v>
      </c>
      <c r="C90" s="25">
        <v>-1.5293730909392899E-4</v>
      </c>
      <c r="D90" s="26">
        <f t="shared" si="12"/>
        <v>-4.2529523612949954E-6</v>
      </c>
      <c r="E90" s="27">
        <v>7</v>
      </c>
      <c r="F90" s="27">
        <v>82.891000000000005</v>
      </c>
      <c r="G90" s="25">
        <v>2.3479519999999998</v>
      </c>
      <c r="H90" s="28">
        <f t="shared" si="13"/>
        <v>7.9996152000000015E-2</v>
      </c>
      <c r="I90">
        <v>19.872892000000004</v>
      </c>
      <c r="J90" s="29">
        <v>27</v>
      </c>
      <c r="K90" s="25">
        <v>40</v>
      </c>
      <c r="L90" s="25">
        <v>31.998000000000001</v>
      </c>
      <c r="M90" s="25">
        <v>1.2829999999999999</v>
      </c>
      <c r="N90" s="25">
        <f t="shared" si="20"/>
        <v>24.939984411535466</v>
      </c>
      <c r="O90" s="26">
        <f t="shared" si="14"/>
        <v>-5.9616860331261146E-3</v>
      </c>
      <c r="P90" s="30">
        <f t="shared" si="15"/>
        <v>-8.6393213000706764E-2</v>
      </c>
      <c r="Q90" s="25">
        <f t="shared" si="21"/>
        <v>-6.1322134998284547E-3</v>
      </c>
      <c r="R90" s="31">
        <f t="shared" si="16"/>
        <v>-8.8864395761997034E-2</v>
      </c>
      <c r="S90" s="30">
        <f t="shared" si="17"/>
        <v>-2.4711827612902693E-3</v>
      </c>
      <c r="T90" s="25">
        <f t="shared" si="18"/>
        <v>1.4301949629249541E-2</v>
      </c>
      <c r="U90" s="31">
        <f t="shared" si="19"/>
        <v>1.4301949629249541E-2</v>
      </c>
      <c r="W90" s="32" t="s">
        <v>159</v>
      </c>
      <c r="X90" s="35">
        <v>13</v>
      </c>
      <c r="Y90" s="34">
        <v>3</v>
      </c>
      <c r="Z90" s="36">
        <v>29.5</v>
      </c>
      <c r="AA90" s="34" t="s">
        <v>164</v>
      </c>
      <c r="AB90">
        <v>13.579864000000006</v>
      </c>
    </row>
    <row r="91" spans="1:28" s="25" customFormat="1" x14ac:dyDescent="0.2">
      <c r="A91" s="25" t="s">
        <v>91</v>
      </c>
      <c r="B91" s="25">
        <v>-5.3481279210271097E-4</v>
      </c>
      <c r="C91" s="25">
        <v>1.2858830355671301E-4</v>
      </c>
      <c r="D91" s="26">
        <f t="shared" si="12"/>
        <v>6.6340109565942394E-4</v>
      </c>
      <c r="E91" s="27">
        <v>8</v>
      </c>
      <c r="F91" s="27">
        <v>82.2</v>
      </c>
      <c r="G91" s="25">
        <v>1.5348040000000001</v>
      </c>
      <c r="H91" s="28">
        <f t="shared" si="13"/>
        <v>7.9851020000000009E-2</v>
      </c>
      <c r="I91">
        <v>14.668131999999991</v>
      </c>
      <c r="J91" s="29">
        <v>27</v>
      </c>
      <c r="K91" s="25">
        <v>40</v>
      </c>
      <c r="L91" s="25">
        <v>31.998000000000001</v>
      </c>
      <c r="M91" s="25">
        <v>1.2829999999999999</v>
      </c>
      <c r="N91" s="25">
        <f t="shared" si="20"/>
        <v>24.939984411535466</v>
      </c>
      <c r="O91" s="26">
        <f t="shared" si="14"/>
        <v>-2.1443990632782614E-2</v>
      </c>
      <c r="P91" s="30">
        <f t="shared" si="15"/>
        <v>-0.42025585054956544</v>
      </c>
      <c r="Q91" s="25">
        <f t="shared" si="21"/>
        <v>5.1559095400732155E-3</v>
      </c>
      <c r="R91" s="31">
        <f t="shared" si="16"/>
        <v>0.10104467896043469</v>
      </c>
      <c r="S91" s="30">
        <f t="shared" si="17"/>
        <v>0.52130052951000017</v>
      </c>
      <c r="T91" s="25">
        <f t="shared" si="18"/>
        <v>-0.62021805148970488</v>
      </c>
      <c r="U91" s="31">
        <f t="shared" si="19"/>
        <v>0.62021805148970488</v>
      </c>
      <c r="W91" s="32" t="s">
        <v>159</v>
      </c>
      <c r="X91" s="35">
        <v>14</v>
      </c>
      <c r="Y91" s="34">
        <v>3</v>
      </c>
      <c r="Z91" s="36">
        <v>29.5</v>
      </c>
      <c r="AA91" s="34" t="s">
        <v>164</v>
      </c>
      <c r="AB91">
        <v>19.021203999999994</v>
      </c>
    </row>
    <row r="92" spans="1:28" s="25" customFormat="1" x14ac:dyDescent="0.2">
      <c r="A92" s="25" t="s">
        <v>92</v>
      </c>
      <c r="B92" s="25">
        <v>-8.6759303378905299E-4</v>
      </c>
      <c r="C92" s="26">
        <v>7.8547867325812196E-5</v>
      </c>
      <c r="D92" s="26">
        <f t="shared" si="12"/>
        <v>9.4614090111486517E-4</v>
      </c>
      <c r="E92" s="27">
        <v>1</v>
      </c>
      <c r="F92" s="27">
        <v>81.450999999999993</v>
      </c>
      <c r="G92" s="25">
        <v>2.2040320000000002</v>
      </c>
      <c r="H92" s="28">
        <f t="shared" si="13"/>
        <v>7.9497799999999993E-2</v>
      </c>
      <c r="I92">
        <v>19.494364000000004</v>
      </c>
      <c r="J92" s="29">
        <v>29.5</v>
      </c>
      <c r="K92" s="25">
        <v>40</v>
      </c>
      <c r="L92" s="25">
        <v>31.998000000000001</v>
      </c>
      <c r="M92" s="25">
        <v>1.272</v>
      </c>
      <c r="N92" s="25">
        <f t="shared" si="20"/>
        <v>25.15566037735849</v>
      </c>
      <c r="O92" s="26">
        <f t="shared" si="14"/>
        <v>-3.4488978654280744E-2</v>
      </c>
      <c r="P92" s="30">
        <f t="shared" si="15"/>
        <v>-0.50632441961913732</v>
      </c>
      <c r="Q92" s="25">
        <f t="shared" si="21"/>
        <v>3.1224728807560821E-3</v>
      </c>
      <c r="R92" s="31">
        <f t="shared" si="16"/>
        <v>4.5840275091158386E-2</v>
      </c>
      <c r="S92" s="30">
        <f t="shared" si="17"/>
        <v>0.55216469471029572</v>
      </c>
      <c r="T92" s="25">
        <f t="shared" si="18"/>
        <v>-0.54526769134070208</v>
      </c>
      <c r="U92" s="31">
        <f t="shared" si="19"/>
        <v>0.54526769134070208</v>
      </c>
      <c r="W92" s="32" t="s">
        <v>159</v>
      </c>
      <c r="X92" s="35">
        <v>15</v>
      </c>
      <c r="Y92" s="34">
        <v>3</v>
      </c>
      <c r="Z92" s="36">
        <v>29.5</v>
      </c>
      <c r="AA92" s="34" t="s">
        <v>164</v>
      </c>
      <c r="AB92">
        <v>7.5234159999999992</v>
      </c>
    </row>
    <row r="93" spans="1:28" s="25" customFormat="1" x14ac:dyDescent="0.2">
      <c r="A93" s="25" t="s">
        <v>93</v>
      </c>
      <c r="B93" s="25">
        <v>-2.5964860782919601E-4</v>
      </c>
      <c r="C93" s="26">
        <v>3.92684894101708E-5</v>
      </c>
      <c r="D93" s="26">
        <f t="shared" si="12"/>
        <v>2.9891709723936684E-4</v>
      </c>
      <c r="E93" s="27">
        <v>2</v>
      </c>
      <c r="F93" s="27">
        <v>81.305000000000007</v>
      </c>
      <c r="G93" s="25">
        <v>0.44718000000000002</v>
      </c>
      <c r="H93" s="28">
        <f t="shared" si="13"/>
        <v>8.0003552000000019E-2</v>
      </c>
      <c r="I93">
        <v>10.835536000000014</v>
      </c>
      <c r="J93" s="29">
        <v>29.5</v>
      </c>
      <c r="K93" s="25">
        <v>40</v>
      </c>
      <c r="L93" s="25">
        <v>31.998000000000001</v>
      </c>
      <c r="M93" s="25">
        <v>1.272</v>
      </c>
      <c r="N93" s="25">
        <f t="shared" si="20"/>
        <v>25.15566037735849</v>
      </c>
      <c r="O93" s="26">
        <f t="shared" si="14"/>
        <v>-1.0321677266039669E-2</v>
      </c>
      <c r="P93" s="30">
        <f t="shared" si="15"/>
        <v>-0.27435422096063899</v>
      </c>
      <c r="Q93" s="25">
        <f t="shared" si="21"/>
        <v>1.5610200178054023E-3</v>
      </c>
      <c r="R93" s="31">
        <f t="shared" si="16"/>
        <v>4.149252295439073E-2</v>
      </c>
      <c r="S93" s="30">
        <f t="shared" si="17"/>
        <v>0.3158467439150297</v>
      </c>
      <c r="T93" s="25">
        <f t="shared" si="18"/>
        <v>-0.57561852485649123</v>
      </c>
      <c r="U93" s="31">
        <f t="shared" si="19"/>
        <v>0.57561852485649123</v>
      </c>
      <c r="W93" s="32" t="s">
        <v>159</v>
      </c>
      <c r="X93" s="33" t="s">
        <v>160</v>
      </c>
      <c r="Y93" s="34">
        <v>3</v>
      </c>
      <c r="Z93" s="36">
        <v>32</v>
      </c>
      <c r="AA93" s="34" t="s">
        <v>163</v>
      </c>
      <c r="AB93">
        <v>15.945663999999997</v>
      </c>
    </row>
    <row r="94" spans="1:28" s="25" customFormat="1" x14ac:dyDescent="0.2">
      <c r="A94" s="25" t="s">
        <v>94</v>
      </c>
      <c r="B94" s="25">
        <v>-2.89405152580265E-4</v>
      </c>
      <c r="C94" s="26">
        <v>9.7608289623777602E-6</v>
      </c>
      <c r="D94" s="26">
        <f t="shared" si="12"/>
        <v>2.9916598154264274E-4</v>
      </c>
      <c r="E94" s="27">
        <v>3</v>
      </c>
      <c r="F94" s="27">
        <v>82.116</v>
      </c>
      <c r="G94" s="25">
        <v>1.185284</v>
      </c>
      <c r="H94" s="28">
        <f t="shared" si="13"/>
        <v>8.0213171999999999E-2</v>
      </c>
      <c r="I94">
        <v>12.255016000000005</v>
      </c>
      <c r="J94" s="29">
        <v>29.5</v>
      </c>
      <c r="K94" s="25">
        <v>40</v>
      </c>
      <c r="L94" s="25">
        <v>31.998000000000001</v>
      </c>
      <c r="M94" s="25">
        <v>1.272</v>
      </c>
      <c r="N94" s="25">
        <f t="shared" si="20"/>
        <v>25.15566037735849</v>
      </c>
      <c r="O94" s="26">
        <f t="shared" si="14"/>
        <v>-1.1504573850931217E-2</v>
      </c>
      <c r="P94" s="30">
        <f t="shared" si="15"/>
        <v>-0.27108459914937783</v>
      </c>
      <c r="Q94" s="25">
        <f t="shared" si="21"/>
        <v>3.8801720232966159E-4</v>
      </c>
      <c r="R94" s="31">
        <f t="shared" si="16"/>
        <v>9.1429277711216825E-3</v>
      </c>
      <c r="S94" s="30">
        <f t="shared" si="17"/>
        <v>0.28022752692049951</v>
      </c>
      <c r="T94" s="25">
        <f t="shared" si="18"/>
        <v>-0.51686360604735715</v>
      </c>
      <c r="U94" s="31">
        <f t="shared" si="19"/>
        <v>0.51686360604735715</v>
      </c>
      <c r="W94" s="32" t="s">
        <v>159</v>
      </c>
      <c r="X94" s="35">
        <v>13</v>
      </c>
      <c r="Y94" s="34">
        <v>3</v>
      </c>
      <c r="Z94" s="36">
        <v>32</v>
      </c>
      <c r="AA94" s="34" t="s">
        <v>163</v>
      </c>
      <c r="AB94">
        <v>5.3941960000000027</v>
      </c>
    </row>
    <row r="95" spans="1:28" s="25" customFormat="1" x14ac:dyDescent="0.2">
      <c r="A95" s="25" t="s">
        <v>95</v>
      </c>
      <c r="B95" s="25">
        <v>-4.7888127476655902E-4</v>
      </c>
      <c r="C95" s="25">
        <v>1.5625335477507799E-4</v>
      </c>
      <c r="D95" s="26">
        <f t="shared" si="12"/>
        <v>6.3513462954163701E-4</v>
      </c>
      <c r="E95" s="27">
        <v>4</v>
      </c>
      <c r="F95" s="27">
        <v>81.135000000000005</v>
      </c>
      <c r="G95" s="25">
        <v>2.1300159999999999</v>
      </c>
      <c r="H95" s="28">
        <f t="shared" si="13"/>
        <v>8.0073076000000007E-2</v>
      </c>
      <c r="I95">
        <v>16.418824000000008</v>
      </c>
      <c r="J95" s="29">
        <v>29.5</v>
      </c>
      <c r="K95" s="25">
        <v>40</v>
      </c>
      <c r="L95" s="25">
        <v>31.998000000000001</v>
      </c>
      <c r="M95" s="25">
        <v>1.272</v>
      </c>
      <c r="N95" s="25">
        <f t="shared" si="20"/>
        <v>25.15566037735849</v>
      </c>
      <c r="O95" s="26">
        <f t="shared" si="14"/>
        <v>-1.9036720466999908E-2</v>
      </c>
      <c r="P95" s="30">
        <f t="shared" si="15"/>
        <v>-0.33422512800438198</v>
      </c>
      <c r="Q95" s="25">
        <f t="shared" si="21"/>
        <v>6.2114590685011309E-3</v>
      </c>
      <c r="R95" s="31">
        <f t="shared" si="16"/>
        <v>0.10905374724929924</v>
      </c>
      <c r="S95" s="30">
        <f t="shared" si="17"/>
        <v>0.4432788752536812</v>
      </c>
      <c r="T95" s="25">
        <f t="shared" si="18"/>
        <v>-0.66314414762954244</v>
      </c>
      <c r="U95" s="31">
        <f t="shared" si="19"/>
        <v>0.66314414762954244</v>
      </c>
      <c r="W95" s="32" t="s">
        <v>159</v>
      </c>
      <c r="X95" s="35">
        <v>14</v>
      </c>
      <c r="Y95" s="34">
        <v>3</v>
      </c>
      <c r="Z95" s="36">
        <v>32</v>
      </c>
      <c r="AA95" s="34" t="s">
        <v>163</v>
      </c>
      <c r="AB95">
        <v>17.081247999999999</v>
      </c>
    </row>
    <row r="96" spans="1:28" s="25" customFormat="1" x14ac:dyDescent="0.2">
      <c r="A96" s="25" t="s">
        <v>96</v>
      </c>
      <c r="B96" s="25">
        <v>-6.2322545774861E-4</v>
      </c>
      <c r="C96" s="26">
        <v>7.7268381578228304E-5</v>
      </c>
      <c r="D96" s="26">
        <f t="shared" si="12"/>
        <v>7.0049383932683834E-4</v>
      </c>
      <c r="E96" s="27">
        <v>5</v>
      </c>
      <c r="F96" s="27">
        <v>81.918999999999997</v>
      </c>
      <c r="G96" s="25">
        <v>1.64994</v>
      </c>
      <c r="H96" s="28">
        <f t="shared" si="13"/>
        <v>7.9583383999999993E-2</v>
      </c>
      <c r="I96">
        <v>15.898348000000002</v>
      </c>
      <c r="J96" s="29">
        <v>29.5</v>
      </c>
      <c r="K96" s="25">
        <v>40</v>
      </c>
      <c r="L96" s="25">
        <v>31.998000000000001</v>
      </c>
      <c r="M96" s="25">
        <v>1.272</v>
      </c>
      <c r="N96" s="25">
        <f t="shared" si="20"/>
        <v>25.15566037735849</v>
      </c>
      <c r="O96" s="26">
        <f t="shared" si="14"/>
        <v>-2.4774760368030252E-2</v>
      </c>
      <c r="P96" s="30">
        <f t="shared" si="15"/>
        <v>-0.44645980603500168</v>
      </c>
      <c r="Q96" s="25">
        <f t="shared" si="21"/>
        <v>3.071610143368536E-3</v>
      </c>
      <c r="R96" s="31">
        <f t="shared" si="16"/>
        <v>5.5352723838777179E-2</v>
      </c>
      <c r="S96" s="30">
        <f t="shared" si="17"/>
        <v>0.50181252987377889</v>
      </c>
      <c r="T96" s="25">
        <f t="shared" si="18"/>
        <v>-0.56199071348702523</v>
      </c>
      <c r="U96" s="31">
        <f t="shared" si="19"/>
        <v>0.56199071348702523</v>
      </c>
      <c r="W96" s="32" t="s">
        <v>159</v>
      </c>
      <c r="X96" s="35">
        <v>15</v>
      </c>
      <c r="Y96" s="34">
        <v>3</v>
      </c>
      <c r="Z96" s="36">
        <v>32</v>
      </c>
      <c r="AA96" s="34" t="s">
        <v>163</v>
      </c>
      <c r="AB96">
        <v>11.214064000000002</v>
      </c>
    </row>
    <row r="97" spans="1:28" s="25" customFormat="1" x14ac:dyDescent="0.2">
      <c r="A97" s="25" t="s">
        <v>97</v>
      </c>
      <c r="B97" s="25">
        <v>-3.0459489465379402E-4</v>
      </c>
      <c r="C97" s="25">
        <v>1.9883545558252699E-4</v>
      </c>
      <c r="D97" s="26">
        <f t="shared" si="12"/>
        <v>5.0343035023632098E-4</v>
      </c>
      <c r="E97" s="27">
        <v>6</v>
      </c>
      <c r="F97" s="27">
        <v>82.186000000000007</v>
      </c>
      <c r="G97" s="25">
        <v>1.7918040000000002</v>
      </c>
      <c r="H97" s="28">
        <f t="shared" si="13"/>
        <v>7.9492640000000003E-2</v>
      </c>
      <c r="I97">
        <v>14.668131999999991</v>
      </c>
      <c r="J97" s="29">
        <v>29.5</v>
      </c>
      <c r="K97" s="25">
        <v>40</v>
      </c>
      <c r="L97" s="25">
        <v>31.998000000000001</v>
      </c>
      <c r="M97" s="25">
        <v>1.272</v>
      </c>
      <c r="N97" s="25">
        <f t="shared" si="20"/>
        <v>25.15566037735849</v>
      </c>
      <c r="O97" s="26">
        <f t="shared" si="14"/>
        <v>-1.210840383772817E-2</v>
      </c>
      <c r="P97" s="30">
        <f t="shared" si="15"/>
        <v>-0.23623351317602817</v>
      </c>
      <c r="Q97" s="25">
        <f t="shared" si="21"/>
        <v>7.9042033721162044E-3</v>
      </c>
      <c r="R97" s="31">
        <f t="shared" si="16"/>
        <v>0.15421006405772131</v>
      </c>
      <c r="S97" s="30">
        <f t="shared" si="17"/>
        <v>0.39044357723374945</v>
      </c>
      <c r="T97" s="25">
        <f t="shared" si="18"/>
        <v>-0.82639328346019303</v>
      </c>
      <c r="U97" s="31">
        <f t="shared" si="19"/>
        <v>0.82639328346019303</v>
      </c>
      <c r="W97" s="32" t="s">
        <v>159</v>
      </c>
      <c r="X97" s="33" t="s">
        <v>160</v>
      </c>
      <c r="Y97" s="34">
        <v>3</v>
      </c>
      <c r="Z97" s="36">
        <v>32</v>
      </c>
      <c r="AA97" s="34" t="s">
        <v>164</v>
      </c>
      <c r="AB97">
        <v>31.086784000000009</v>
      </c>
    </row>
    <row r="98" spans="1:28" s="25" customFormat="1" x14ac:dyDescent="0.2">
      <c r="A98" s="25" t="s">
        <v>98</v>
      </c>
      <c r="B98" s="25">
        <v>-2.71219530297083E-4</v>
      </c>
      <c r="C98" s="25">
        <v>2.2964486134645701E-4</v>
      </c>
      <c r="D98" s="26">
        <f t="shared" si="12"/>
        <v>5.0086439164354003E-4</v>
      </c>
      <c r="E98" s="27">
        <v>7</v>
      </c>
      <c r="F98" s="27">
        <v>82.891000000000005</v>
      </c>
      <c r="G98" s="25">
        <v>2.2184240000000002</v>
      </c>
      <c r="H98" s="28">
        <f t="shared" si="13"/>
        <v>7.7051960000000003E-2</v>
      </c>
      <c r="I98">
        <v>26.165920000000003</v>
      </c>
      <c r="J98" s="29">
        <v>29.5</v>
      </c>
      <c r="K98" s="25">
        <v>40</v>
      </c>
      <c r="L98" s="25">
        <v>31.998000000000001</v>
      </c>
      <c r="M98" s="25">
        <v>1.272</v>
      </c>
      <c r="N98" s="25">
        <f t="shared" si="20"/>
        <v>25.15566037735849</v>
      </c>
      <c r="O98" s="26">
        <f t="shared" si="14"/>
        <v>-1.0781650182445453E-2</v>
      </c>
      <c r="P98" s="30">
        <f t="shared" si="15"/>
        <v>-0.11429715457856658</v>
      </c>
      <c r="Q98" s="25">
        <f t="shared" si="21"/>
        <v>9.1289537981340488E-3</v>
      </c>
      <c r="R98" s="31">
        <f t="shared" si="16"/>
        <v>9.6776785162701023E-2</v>
      </c>
      <c r="S98" s="30">
        <f t="shared" si="17"/>
        <v>0.21107393974126759</v>
      </c>
      <c r="T98" s="25">
        <f t="shared" si="18"/>
        <v>-0.92335605606077342</v>
      </c>
      <c r="U98" s="31">
        <f t="shared" si="19"/>
        <v>0.92335605606077342</v>
      </c>
      <c r="W98" s="32" t="s">
        <v>159</v>
      </c>
      <c r="X98" s="35">
        <v>13</v>
      </c>
      <c r="Y98" s="34">
        <v>3</v>
      </c>
      <c r="Z98" s="36">
        <v>32</v>
      </c>
      <c r="AA98" s="34" t="s">
        <v>164</v>
      </c>
      <c r="AB98">
        <v>12.964756</v>
      </c>
    </row>
    <row r="99" spans="1:28" s="25" customFormat="1" x14ac:dyDescent="0.2">
      <c r="A99" s="25" t="s">
        <v>99</v>
      </c>
      <c r="B99" s="25">
        <v>-5.4906700281806195E-4</v>
      </c>
      <c r="C99" s="25">
        <v>1.9079444519645901E-4</v>
      </c>
      <c r="D99" s="26">
        <f t="shared" si="12"/>
        <v>7.3986144801452096E-4</v>
      </c>
      <c r="E99" s="27">
        <v>8</v>
      </c>
      <c r="F99" s="27">
        <v>82.2</v>
      </c>
      <c r="G99" s="25">
        <v>3.3923999999999999</v>
      </c>
      <c r="H99" s="28">
        <f t="shared" si="13"/>
        <v>8.1814500000000012E-2</v>
      </c>
      <c r="I99">
        <v>19.825575999999987</v>
      </c>
      <c r="J99" s="29">
        <v>29.5</v>
      </c>
      <c r="K99" s="25">
        <v>40</v>
      </c>
      <c r="L99" s="25">
        <v>31.998000000000001</v>
      </c>
      <c r="M99" s="25">
        <v>1.272</v>
      </c>
      <c r="N99" s="25">
        <f t="shared" si="20"/>
        <v>25.15566037735849</v>
      </c>
      <c r="O99" s="26">
        <f t="shared" si="14"/>
        <v>-2.1826777535613941E-2</v>
      </c>
      <c r="P99" s="30">
        <f t="shared" si="15"/>
        <v>-0.32426239754521924</v>
      </c>
      <c r="Q99" s="25">
        <f t="shared" si="21"/>
        <v>7.5845532311361909E-3</v>
      </c>
      <c r="R99" s="31">
        <f t="shared" si="16"/>
        <v>0.11267743994846115</v>
      </c>
      <c r="S99" s="30">
        <f t="shared" si="17"/>
        <v>0.43693983749368037</v>
      </c>
      <c r="T99" s="25">
        <f t="shared" si="18"/>
        <v>-0.6737442281335565</v>
      </c>
      <c r="U99" s="31">
        <f t="shared" si="19"/>
        <v>0.6737442281335565</v>
      </c>
      <c r="W99" s="32" t="s">
        <v>159</v>
      </c>
      <c r="X99" s="35">
        <v>14</v>
      </c>
      <c r="Y99" s="34">
        <v>3</v>
      </c>
      <c r="Z99" s="36">
        <v>32</v>
      </c>
      <c r="AA99" s="34" t="s">
        <v>164</v>
      </c>
      <c r="AB99">
        <v>14.147655999999985</v>
      </c>
    </row>
    <row r="100" spans="1:28" s="25" customFormat="1" x14ac:dyDescent="0.2">
      <c r="A100" s="25" t="s">
        <v>100</v>
      </c>
      <c r="B100" s="25">
        <v>-1.0019926686477699E-3</v>
      </c>
      <c r="C100" s="25">
        <v>-2.6465988018977202E-4</v>
      </c>
      <c r="D100" s="26">
        <f t="shared" si="12"/>
        <v>7.3733278845799794E-4</v>
      </c>
      <c r="E100" s="27">
        <v>1</v>
      </c>
      <c r="F100" s="27">
        <v>81.450999999999993</v>
      </c>
      <c r="G100" s="25">
        <v>2.8064400000000003</v>
      </c>
      <c r="H100" s="28">
        <f t="shared" si="13"/>
        <v>8.0261603999999986E-2</v>
      </c>
      <c r="I100">
        <v>20.062155999999984</v>
      </c>
      <c r="J100" s="29">
        <v>32</v>
      </c>
      <c r="K100" s="25">
        <v>40</v>
      </c>
      <c r="L100" s="25">
        <v>31.998000000000001</v>
      </c>
      <c r="M100" s="25">
        <v>1.2609999999999999</v>
      </c>
      <c r="N100" s="25">
        <f t="shared" si="20"/>
        <v>25.375099127676449</v>
      </c>
      <c r="O100" s="26">
        <f t="shared" si="14"/>
        <v>-3.9487241551498145E-2</v>
      </c>
      <c r="P100" s="30">
        <f t="shared" si="15"/>
        <v>-0.56870825050165552</v>
      </c>
      <c r="Q100" s="25">
        <f t="shared" si="21"/>
        <v>-1.0429905272807754E-2</v>
      </c>
      <c r="R100" s="31">
        <f t="shared" si="16"/>
        <v>-0.15021492886153362</v>
      </c>
      <c r="S100" s="30">
        <f t="shared" si="17"/>
        <v>0.41849332164012187</v>
      </c>
      <c r="T100" s="25">
        <f t="shared" si="18"/>
        <v>-0.36793322522661698</v>
      </c>
      <c r="U100" s="31">
        <f t="shared" si="19"/>
        <v>0.36793322522661698</v>
      </c>
      <c r="W100" s="32" t="s">
        <v>159</v>
      </c>
      <c r="X100" s="35">
        <v>15</v>
      </c>
      <c r="Y100" s="34">
        <v>3</v>
      </c>
      <c r="Z100" s="36">
        <v>32</v>
      </c>
      <c r="AA100" s="34" t="s">
        <v>164</v>
      </c>
      <c r="AB100">
        <v>8.8009480000000053</v>
      </c>
    </row>
    <row r="101" spans="1:28" s="25" customFormat="1" x14ac:dyDescent="0.2">
      <c r="A101" s="25" t="s">
        <v>101</v>
      </c>
      <c r="B101" s="25">
        <v>-1.6646106366171399E-4</v>
      </c>
      <c r="C101" s="26">
        <v>-4.4362000092494398E-5</v>
      </c>
      <c r="D101" s="26">
        <f t="shared" si="12"/>
        <v>1.220990635692196E-4</v>
      </c>
      <c r="E101" s="27">
        <v>2</v>
      </c>
      <c r="F101" s="27">
        <v>81.305000000000007</v>
      </c>
      <c r="G101" s="25">
        <v>0.57568000000000008</v>
      </c>
      <c r="H101" s="28">
        <f t="shared" si="13"/>
        <v>7.9484412000000004E-2</v>
      </c>
      <c r="I101">
        <v>6.3405160000000027</v>
      </c>
      <c r="J101" s="29">
        <v>32</v>
      </c>
      <c r="K101" s="25">
        <v>40</v>
      </c>
      <c r="L101" s="25">
        <v>31.998000000000001</v>
      </c>
      <c r="M101" s="25">
        <v>1.2609999999999999</v>
      </c>
      <c r="N101" s="25">
        <f t="shared" si="20"/>
        <v>25.375099127676449</v>
      </c>
      <c r="O101" s="26">
        <f t="shared" si="14"/>
        <v>-6.5600162909375996E-3</v>
      </c>
      <c r="P101" s="30">
        <f t="shared" si="15"/>
        <v>-0.29604980656844726</v>
      </c>
      <c r="Q101" s="25">
        <f t="shared" si="21"/>
        <v>-1.7482493317280902E-3</v>
      </c>
      <c r="R101" s="31">
        <f t="shared" si="16"/>
        <v>-7.8897498655074852E-2</v>
      </c>
      <c r="S101" s="30">
        <f t="shared" si="17"/>
        <v>0.21715230791337242</v>
      </c>
      <c r="T101" s="25">
        <f t="shared" si="18"/>
        <v>-0.36674961965085162</v>
      </c>
      <c r="U101" s="31">
        <f t="shared" si="19"/>
        <v>0.36674961965085162</v>
      </c>
      <c r="W101" s="32" t="s">
        <v>159</v>
      </c>
      <c r="X101" s="33" t="s">
        <v>160</v>
      </c>
      <c r="Y101" s="34">
        <v>3</v>
      </c>
      <c r="Z101" s="36">
        <v>34.5</v>
      </c>
      <c r="AA101" s="34" t="s">
        <v>163</v>
      </c>
      <c r="AB101">
        <v>37.994919999999965</v>
      </c>
    </row>
    <row r="102" spans="1:28" s="25" customFormat="1" x14ac:dyDescent="0.2">
      <c r="A102" s="25" t="s">
        <v>102</v>
      </c>
      <c r="B102" s="25">
        <v>-1.1280631873655301E-3</v>
      </c>
      <c r="C102" s="25">
        <v>-2.9705676534776799E-4</v>
      </c>
      <c r="D102" s="26">
        <f t="shared" si="12"/>
        <v>8.3100642201776212E-4</v>
      </c>
      <c r="E102" s="27">
        <v>3</v>
      </c>
      <c r="F102" s="27">
        <v>82.116</v>
      </c>
      <c r="G102" s="25">
        <v>2.4908440000000001</v>
      </c>
      <c r="H102" s="28">
        <f t="shared" si="13"/>
        <v>8.0229620000000001E-2</v>
      </c>
      <c r="I102">
        <v>17.033932000000004</v>
      </c>
      <c r="J102" s="29">
        <v>32</v>
      </c>
      <c r="K102" s="25">
        <v>40</v>
      </c>
      <c r="L102" s="25">
        <v>31.998000000000001</v>
      </c>
      <c r="M102" s="25">
        <v>1.2609999999999999</v>
      </c>
      <c r="N102" s="25">
        <f t="shared" si="20"/>
        <v>25.375099127676449</v>
      </c>
      <c r="O102" s="26">
        <f t="shared" si="14"/>
        <v>-4.4455518447025853E-2</v>
      </c>
      <c r="P102" s="30">
        <f t="shared" si="15"/>
        <v>-0.75378589434713872</v>
      </c>
      <c r="Q102" s="25">
        <f t="shared" si="21"/>
        <v>-1.1706624823536953E-2</v>
      </c>
      <c r="R102" s="31">
        <f t="shared" si="16"/>
        <v>-0.19849703637831662</v>
      </c>
      <c r="S102" s="30">
        <f t="shared" si="17"/>
        <v>0.5552888579688221</v>
      </c>
      <c r="T102" s="25">
        <f t="shared" si="18"/>
        <v>-0.36833327748177297</v>
      </c>
      <c r="U102" s="31">
        <f t="shared" si="19"/>
        <v>0.36833327748177297</v>
      </c>
      <c r="W102" s="32" t="s">
        <v>159</v>
      </c>
      <c r="X102" s="35">
        <v>13</v>
      </c>
      <c r="Y102" s="34">
        <v>3</v>
      </c>
      <c r="Z102" s="36">
        <v>34.5</v>
      </c>
      <c r="AA102" s="34" t="s">
        <v>163</v>
      </c>
      <c r="AB102">
        <v>7.2868359999999992</v>
      </c>
    </row>
    <row r="103" spans="1:28" s="25" customFormat="1" x14ac:dyDescent="0.2">
      <c r="A103" s="25" t="s">
        <v>103</v>
      </c>
      <c r="B103" s="25">
        <v>-2.84382257866179E-4</v>
      </c>
      <c r="C103" s="26">
        <v>-6.8393742565506298E-5</v>
      </c>
      <c r="D103" s="26">
        <f t="shared" si="12"/>
        <v>2.159885153006727E-4</v>
      </c>
      <c r="E103" s="27">
        <v>4</v>
      </c>
      <c r="F103" s="27">
        <v>81.135000000000005</v>
      </c>
      <c r="G103" s="25">
        <v>0.80800800000000006</v>
      </c>
      <c r="H103" s="28">
        <f t="shared" si="13"/>
        <v>7.9627952000000002E-2</v>
      </c>
      <c r="I103">
        <v>7.6180479999999999</v>
      </c>
      <c r="J103" s="29">
        <v>32</v>
      </c>
      <c r="K103" s="25">
        <v>40</v>
      </c>
      <c r="L103" s="25">
        <v>31.998000000000001</v>
      </c>
      <c r="M103" s="25">
        <v>1.2609999999999999</v>
      </c>
      <c r="N103" s="25">
        <f t="shared" si="20"/>
        <v>25.375099127676449</v>
      </c>
      <c r="O103" s="26">
        <f t="shared" si="14"/>
        <v>-1.1207138795213815E-2</v>
      </c>
      <c r="P103" s="30">
        <f t="shared" si="15"/>
        <v>-0.42171504250871678</v>
      </c>
      <c r="Q103" s="25">
        <f t="shared" si="21"/>
        <v>-2.6953093748079081E-3</v>
      </c>
      <c r="R103" s="31">
        <f t="shared" si="16"/>
        <v>-0.10142218530002368</v>
      </c>
      <c r="S103" s="30">
        <f t="shared" si="17"/>
        <v>0.3202928572086931</v>
      </c>
      <c r="T103" s="25">
        <f t="shared" si="18"/>
        <v>-0.3797503348508996</v>
      </c>
      <c r="U103" s="31">
        <f t="shared" si="19"/>
        <v>0.3797503348508996</v>
      </c>
      <c r="W103" s="32" t="s">
        <v>159</v>
      </c>
      <c r="X103" s="35">
        <v>14</v>
      </c>
      <c r="Y103" s="34">
        <v>3</v>
      </c>
      <c r="Z103" s="36">
        <v>34.5</v>
      </c>
      <c r="AA103" s="34" t="s">
        <v>163</v>
      </c>
      <c r="AB103">
        <v>11.592591999999993</v>
      </c>
    </row>
    <row r="104" spans="1:28" s="25" customFormat="1" x14ac:dyDescent="0.2">
      <c r="A104" s="25" t="s">
        <v>104</v>
      </c>
      <c r="B104" s="25">
        <v>-5.5787891666606699E-4</v>
      </c>
      <c r="C104" s="25">
        <v>-1.4352201219450299E-4</v>
      </c>
      <c r="D104" s="26">
        <f t="shared" si="12"/>
        <v>4.14356904471564E-4</v>
      </c>
      <c r="E104" s="27">
        <v>5</v>
      </c>
      <c r="F104" s="27">
        <v>81.918999999999997</v>
      </c>
      <c r="G104" s="25">
        <v>1.5306920000000002</v>
      </c>
      <c r="H104" s="28">
        <f t="shared" si="13"/>
        <v>7.9630672E-2</v>
      </c>
      <c r="I104">
        <v>11.356012000000019</v>
      </c>
      <c r="J104" s="29">
        <v>32</v>
      </c>
      <c r="K104" s="25">
        <v>40</v>
      </c>
      <c r="L104" s="25">
        <v>31.998000000000001</v>
      </c>
      <c r="M104" s="25">
        <v>1.2609999999999999</v>
      </c>
      <c r="N104" s="25">
        <f t="shared" si="20"/>
        <v>25.375099127676449</v>
      </c>
      <c r="O104" s="26">
        <f t="shared" si="14"/>
        <v>-2.1985290140505983E-2</v>
      </c>
      <c r="P104" s="30">
        <f t="shared" si="15"/>
        <v>-0.554995216702172</v>
      </c>
      <c r="Q104" s="25">
        <f t="shared" si="21"/>
        <v>-5.6560177941517679E-3</v>
      </c>
      <c r="R104" s="31">
        <f t="shared" si="16"/>
        <v>-0.14278014077936374</v>
      </c>
      <c r="S104" s="30">
        <f t="shared" si="17"/>
        <v>0.41221507592280826</v>
      </c>
      <c r="T104" s="25">
        <f t="shared" si="18"/>
        <v>-0.37136813392034684</v>
      </c>
      <c r="U104" s="31">
        <f t="shared" si="19"/>
        <v>0.37136813392034684</v>
      </c>
      <c r="W104" s="32" t="s">
        <v>159</v>
      </c>
      <c r="X104" s="35">
        <v>15</v>
      </c>
      <c r="Y104" s="34">
        <v>3</v>
      </c>
      <c r="Z104" s="36">
        <v>34.5</v>
      </c>
      <c r="AA104" s="34" t="s">
        <v>163</v>
      </c>
      <c r="AB104">
        <v>8.091208</v>
      </c>
    </row>
    <row r="105" spans="1:28" s="25" customFormat="1" x14ac:dyDescent="0.2">
      <c r="A105" s="25" t="s">
        <v>105</v>
      </c>
      <c r="B105" s="25">
        <v>-6.8621426554376903E-4</v>
      </c>
      <c r="C105" s="25">
        <v>-3.1120084075592498E-4</v>
      </c>
      <c r="D105" s="26">
        <f t="shared" si="12"/>
        <v>3.7501342478784406E-4</v>
      </c>
      <c r="E105" s="27">
        <v>6</v>
      </c>
      <c r="F105" s="27">
        <v>82.186000000000007</v>
      </c>
      <c r="G105" s="25">
        <v>2.7159759999999999</v>
      </c>
      <c r="H105" s="28">
        <f t="shared" si="13"/>
        <v>8.1370796000000009E-2</v>
      </c>
      <c r="I105">
        <v>18.784623999999976</v>
      </c>
      <c r="J105" s="29">
        <v>32</v>
      </c>
      <c r="K105" s="25">
        <v>40</v>
      </c>
      <c r="L105" s="25">
        <v>31.998000000000001</v>
      </c>
      <c r="M105" s="25">
        <v>1.2609999999999999</v>
      </c>
      <c r="N105" s="25">
        <f t="shared" si="20"/>
        <v>25.375099127676449</v>
      </c>
      <c r="O105" s="26">
        <f t="shared" si="14"/>
        <v>-2.7042821077901517E-2</v>
      </c>
      <c r="P105" s="30">
        <f t="shared" si="15"/>
        <v>-0.42171646118122669</v>
      </c>
      <c r="Q105" s="25">
        <f t="shared" si="21"/>
        <v>-1.2264024632577704E-2</v>
      </c>
      <c r="R105" s="31">
        <f t="shared" si="16"/>
        <v>-0.19125005682622362</v>
      </c>
      <c r="S105" s="30">
        <f t="shared" si="17"/>
        <v>0.23046640435500307</v>
      </c>
      <c r="T105" s="25">
        <f t="shared" si="18"/>
        <v>-0.27324805357308946</v>
      </c>
      <c r="U105" s="31">
        <f t="shared" si="19"/>
        <v>0.27324805357308946</v>
      </c>
      <c r="W105" s="32" t="s">
        <v>159</v>
      </c>
      <c r="X105" s="33" t="s">
        <v>160</v>
      </c>
      <c r="Y105" s="34">
        <v>3</v>
      </c>
      <c r="Z105" s="36">
        <v>34.5</v>
      </c>
      <c r="AA105" s="34" t="s">
        <v>164</v>
      </c>
      <c r="AB105">
        <v>23.090379999999985</v>
      </c>
    </row>
    <row r="106" spans="1:28" s="25" customFormat="1" x14ac:dyDescent="0.2">
      <c r="A106" s="25" t="s">
        <v>106</v>
      </c>
      <c r="B106" s="25">
        <v>-1.27774109081974E-3</v>
      </c>
      <c r="C106" s="26">
        <v>-6.97990742809651E-5</v>
      </c>
      <c r="D106" s="26">
        <f t="shared" si="12"/>
        <v>1.207942016538775E-3</v>
      </c>
      <c r="E106" s="27">
        <v>7</v>
      </c>
      <c r="F106" s="27">
        <v>82.891000000000005</v>
      </c>
      <c r="G106" s="25">
        <v>3.6504280000000002</v>
      </c>
      <c r="H106" s="28">
        <f t="shared" si="13"/>
        <v>8.0314832000000017E-2</v>
      </c>
      <c r="I106">
        <v>9.9365319999999961</v>
      </c>
      <c r="J106" s="29">
        <v>32</v>
      </c>
      <c r="K106" s="25">
        <v>40</v>
      </c>
      <c r="L106" s="25">
        <v>31.998000000000001</v>
      </c>
      <c r="M106" s="25">
        <v>1.2609999999999999</v>
      </c>
      <c r="N106" s="25">
        <f t="shared" si="20"/>
        <v>25.375099127676449</v>
      </c>
      <c r="O106" s="26">
        <f t="shared" si="14"/>
        <v>-5.0354131993364956E-2</v>
      </c>
      <c r="P106" s="30">
        <f t="shared" si="15"/>
        <v>-1.4652054807039883</v>
      </c>
      <c r="Q106" s="25">
        <f t="shared" si="21"/>
        <v>-2.7506916891148502E-3</v>
      </c>
      <c r="R106" s="31">
        <f t="shared" si="16"/>
        <v>-8.0039678554066948E-2</v>
      </c>
      <c r="S106" s="30">
        <f t="shared" si="17"/>
        <v>1.3851658021499214</v>
      </c>
      <c r="T106" s="25">
        <f t="shared" si="18"/>
        <v>-0.47268653454817466</v>
      </c>
      <c r="U106" s="31">
        <f t="shared" si="19"/>
        <v>0.47268653454817466</v>
      </c>
      <c r="W106" s="32" t="s">
        <v>159</v>
      </c>
      <c r="X106" s="35">
        <v>13</v>
      </c>
      <c r="Y106" s="34">
        <v>3</v>
      </c>
      <c r="Z106" s="36">
        <v>34.5</v>
      </c>
      <c r="AA106" s="34" t="s">
        <v>164</v>
      </c>
      <c r="AB106">
        <v>9.5580040000000057</v>
      </c>
    </row>
    <row r="107" spans="1:28" s="25" customFormat="1" x14ac:dyDescent="0.2">
      <c r="A107" s="25" t="s">
        <v>107</v>
      </c>
      <c r="B107" s="25">
        <v>-4.8132722426660603E-4</v>
      </c>
      <c r="C107" s="26">
        <v>-6.0703655437624502E-5</v>
      </c>
      <c r="D107" s="26">
        <f t="shared" si="12"/>
        <v>4.2062356882898155E-4</v>
      </c>
      <c r="E107" s="27">
        <v>8</v>
      </c>
      <c r="F107" s="27">
        <v>82.2</v>
      </c>
      <c r="G107" s="25">
        <v>1.1657519999999999</v>
      </c>
      <c r="H107" s="28">
        <f t="shared" si="13"/>
        <v>8.185459199999999E-2</v>
      </c>
      <c r="I107">
        <v>26.165920000000003</v>
      </c>
      <c r="J107" s="29">
        <v>32</v>
      </c>
      <c r="K107" s="25">
        <v>40</v>
      </c>
      <c r="L107" s="25">
        <v>31.998000000000001</v>
      </c>
      <c r="M107" s="25">
        <v>1.2609999999999999</v>
      </c>
      <c r="N107" s="25">
        <f t="shared" si="20"/>
        <v>25.375099127676449</v>
      </c>
      <c r="O107" s="26">
        <f t="shared" si="14"/>
        <v>-1.8968486461659797E-2</v>
      </c>
      <c r="P107" s="30">
        <f t="shared" si="15"/>
        <v>-0.21362015142735549</v>
      </c>
      <c r="Q107" s="25">
        <f t="shared" si="21"/>
        <v>-2.3922529378975089E-3</v>
      </c>
      <c r="R107" s="31">
        <f t="shared" si="16"/>
        <v>-2.6941181410500632E-2</v>
      </c>
      <c r="S107" s="30">
        <f t="shared" si="17"/>
        <v>0.18667897001685485</v>
      </c>
      <c r="T107" s="25">
        <f t="shared" si="18"/>
        <v>-0.43694138584191022</v>
      </c>
      <c r="U107" s="31">
        <f t="shared" si="19"/>
        <v>0.43694138584191022</v>
      </c>
      <c r="W107" s="32" t="s">
        <v>159</v>
      </c>
      <c r="X107" s="35">
        <v>14</v>
      </c>
      <c r="Y107" s="34">
        <v>3</v>
      </c>
      <c r="Z107" s="36">
        <v>34.5</v>
      </c>
      <c r="AA107" s="34" t="s">
        <v>164</v>
      </c>
      <c r="AB107">
        <v>11.450644000000009</v>
      </c>
    </row>
    <row r="108" spans="1:28" x14ac:dyDescent="0.2">
      <c r="A108" t="s">
        <v>108</v>
      </c>
      <c r="B108">
        <v>-1.13351558172452E-3</v>
      </c>
      <c r="C108">
        <v>1.1395940140471501E-4</v>
      </c>
      <c r="D108" s="1">
        <f t="shared" si="12"/>
        <v>1.2474749831292351E-3</v>
      </c>
      <c r="E108" s="6">
        <v>1</v>
      </c>
      <c r="F108" s="6">
        <v>81.450999999999993</v>
      </c>
      <c r="G108">
        <v>2.8948480000000001</v>
      </c>
      <c r="H108" s="2">
        <f t="shared" si="13"/>
        <v>7.9407335999999981E-2</v>
      </c>
      <c r="I108">
        <v>16.276876000000001</v>
      </c>
      <c r="J108" s="7">
        <v>28</v>
      </c>
      <c r="K108">
        <v>40</v>
      </c>
      <c r="L108" s="8">
        <v>31.998000000000001</v>
      </c>
      <c r="M108" s="8">
        <v>1.278</v>
      </c>
      <c r="N108" s="8">
        <f t="shared" si="20"/>
        <v>25.037558685446008</v>
      </c>
      <c r="O108" s="1">
        <f t="shared" si="14"/>
        <v>-4.5272608083128212E-2</v>
      </c>
      <c r="P108" s="10">
        <f t="shared" si="15"/>
        <v>-0.79511067885212106</v>
      </c>
      <c r="Q108" s="8">
        <f t="shared" si="21"/>
        <v>4.5515380647298516E-3</v>
      </c>
      <c r="R108" s="9">
        <f t="shared" si="16"/>
        <v>7.9937442831293587E-2</v>
      </c>
      <c r="S108" s="10">
        <f t="shared" si="17"/>
        <v>0.87504812168341461</v>
      </c>
      <c r="T108">
        <f t="shared" si="18"/>
        <v>-0.55026812301571459</v>
      </c>
      <c r="U108" s="5">
        <f t="shared" si="19"/>
        <v>0.55026812301571459</v>
      </c>
      <c r="W108" s="32" t="s">
        <v>159</v>
      </c>
      <c r="X108" s="35">
        <v>15</v>
      </c>
      <c r="Y108" s="34">
        <v>3</v>
      </c>
      <c r="Z108" s="36">
        <v>34.5</v>
      </c>
      <c r="AA108" s="34" t="s">
        <v>164</v>
      </c>
      <c r="AB108">
        <v>11.024799999999992</v>
      </c>
    </row>
    <row r="109" spans="1:28" x14ac:dyDescent="0.2">
      <c r="A109" t="s">
        <v>109</v>
      </c>
      <c r="B109">
        <v>-3.2215010406887602E-4</v>
      </c>
      <c r="C109" s="1">
        <v>-1.50255326417244E-5</v>
      </c>
      <c r="D109" s="1">
        <f t="shared" si="12"/>
        <v>3.0712457142715162E-4</v>
      </c>
      <c r="E109" s="6">
        <v>2</v>
      </c>
      <c r="F109" s="6">
        <v>81.305000000000007</v>
      </c>
      <c r="G109">
        <v>2.3489800000000001</v>
      </c>
      <c r="H109" s="2">
        <f t="shared" si="13"/>
        <v>8.0762216000000012E-2</v>
      </c>
      <c r="I109">
        <v>19.352415999999998</v>
      </c>
      <c r="J109" s="7">
        <v>28</v>
      </c>
      <c r="K109">
        <v>40</v>
      </c>
      <c r="L109" s="8">
        <v>31.998000000000001</v>
      </c>
      <c r="M109" s="8">
        <v>1.278</v>
      </c>
      <c r="N109" s="8">
        <f t="shared" si="20"/>
        <v>25.037558685446008</v>
      </c>
      <c r="O109" s="1">
        <f t="shared" si="14"/>
        <v>-1.2866673948372509E-2</v>
      </c>
      <c r="P109" s="10">
        <f t="shared" si="15"/>
        <v>-0.19330444127658897</v>
      </c>
      <c r="Q109" s="8">
        <f t="shared" si="21"/>
        <v>-6.001197173612033E-4</v>
      </c>
      <c r="R109" s="9">
        <f t="shared" si="16"/>
        <v>-9.0159902340764108E-3</v>
      </c>
      <c r="S109" s="10">
        <f t="shared" si="17"/>
        <v>0.18428845104251257</v>
      </c>
      <c r="T109">
        <f t="shared" si="18"/>
        <v>-0.47667929879278897</v>
      </c>
      <c r="U109" s="5">
        <f t="shared" si="19"/>
        <v>0.47667929879278897</v>
      </c>
      <c r="W109" s="37" t="s">
        <v>165</v>
      </c>
      <c r="X109" s="34" t="s">
        <v>160</v>
      </c>
      <c r="Y109" s="38" t="s">
        <v>161</v>
      </c>
      <c r="Z109" s="34"/>
      <c r="AA109" s="35"/>
      <c r="AB109">
        <v>23.610855999999991</v>
      </c>
    </row>
    <row r="110" spans="1:28" x14ac:dyDescent="0.2">
      <c r="A110" t="s">
        <v>110</v>
      </c>
      <c r="B110">
        <v>-2.3658115081925E-4</v>
      </c>
      <c r="C110">
        <v>-1.53826383073865E-4</v>
      </c>
      <c r="D110" s="1">
        <f t="shared" si="12"/>
        <v>8.2754767745384995E-5</v>
      </c>
      <c r="E110" s="6">
        <v>3</v>
      </c>
      <c r="F110" s="6">
        <v>82.116</v>
      </c>
      <c r="G110">
        <v>1.9532</v>
      </c>
      <c r="H110" s="2">
        <f t="shared" si="13"/>
        <v>7.7602052000000005E-2</v>
      </c>
      <c r="I110">
        <v>15.898348000000002</v>
      </c>
      <c r="J110" s="7">
        <v>28</v>
      </c>
      <c r="K110">
        <v>40</v>
      </c>
      <c r="L110" s="8">
        <v>31.998000000000001</v>
      </c>
      <c r="M110" s="8">
        <v>1.278</v>
      </c>
      <c r="N110" s="8">
        <f t="shared" si="20"/>
        <v>25.037558685446008</v>
      </c>
      <c r="O110" s="1">
        <f t="shared" si="14"/>
        <v>-9.4490502764860776E-3</v>
      </c>
      <c r="P110" s="10">
        <f t="shared" si="15"/>
        <v>-0.16603967200009417</v>
      </c>
      <c r="Q110" s="8">
        <f t="shared" si="21"/>
        <v>-6.1438251630851768E-3</v>
      </c>
      <c r="R110" s="9">
        <f t="shared" si="16"/>
        <v>-0.10795992031528807</v>
      </c>
      <c r="S110" s="10">
        <f t="shared" si="17"/>
        <v>5.80797516848061E-2</v>
      </c>
      <c r="T110">
        <f t="shared" si="18"/>
        <v>-0.17489721277205714</v>
      </c>
      <c r="U110" s="5">
        <f t="shared" si="19"/>
        <v>0.17489721277205714</v>
      </c>
      <c r="W110" s="32" t="s">
        <v>165</v>
      </c>
      <c r="X110" s="34">
        <v>13</v>
      </c>
      <c r="Y110" s="38" t="s">
        <v>161</v>
      </c>
      <c r="Z110" s="34"/>
      <c r="AA110" s="35"/>
      <c r="AB110">
        <v>13.201336000000005</v>
      </c>
    </row>
    <row r="111" spans="1:28" x14ac:dyDescent="0.2">
      <c r="A111" t="s">
        <v>111</v>
      </c>
      <c r="B111">
        <v>-4.07695623287378E-4</v>
      </c>
      <c r="C111" s="1">
        <v>6.3801704541428204E-5</v>
      </c>
      <c r="D111" s="1">
        <f t="shared" si="12"/>
        <v>4.7149732782880618E-4</v>
      </c>
      <c r="E111" s="6">
        <v>4</v>
      </c>
      <c r="F111" s="6">
        <v>81.135000000000005</v>
      </c>
      <c r="G111">
        <v>1.3014479999999999</v>
      </c>
      <c r="H111" s="2">
        <f t="shared" si="13"/>
        <v>7.9819160000000014E-2</v>
      </c>
      <c r="I111">
        <v>10.173112000000001</v>
      </c>
      <c r="J111" s="7">
        <v>28</v>
      </c>
      <c r="K111">
        <v>40</v>
      </c>
      <c r="L111" s="8">
        <v>31.998000000000001</v>
      </c>
      <c r="M111" s="8">
        <v>1.278</v>
      </c>
      <c r="N111" s="8">
        <f t="shared" si="20"/>
        <v>25.037558685446008</v>
      </c>
      <c r="O111" s="1">
        <f t="shared" si="14"/>
        <v>-1.6283361665143731E-2</v>
      </c>
      <c r="P111" s="10">
        <f t="shared" si="15"/>
        <v>-0.4599386402427012</v>
      </c>
      <c r="Q111" s="8">
        <f t="shared" si="21"/>
        <v>2.5482398401132961E-3</v>
      </c>
      <c r="R111" s="9">
        <f t="shared" si="16"/>
        <v>7.1977395772204147E-2</v>
      </c>
      <c r="S111" s="10">
        <f t="shared" si="17"/>
        <v>0.53191603601490534</v>
      </c>
      <c r="T111">
        <f t="shared" si="18"/>
        <v>-0.57824673714544073</v>
      </c>
      <c r="U111" s="5">
        <f t="shared" si="19"/>
        <v>0.57824673714544073</v>
      </c>
      <c r="W111" s="32" t="s">
        <v>165</v>
      </c>
      <c r="X111" s="34">
        <v>14</v>
      </c>
      <c r="Y111" s="38" t="s">
        <v>161</v>
      </c>
      <c r="Z111" s="34"/>
      <c r="AA111" s="35"/>
      <c r="AB111">
        <v>13.390600000000004</v>
      </c>
    </row>
    <row r="112" spans="1:28" x14ac:dyDescent="0.2">
      <c r="A112" t="s">
        <v>112</v>
      </c>
      <c r="B112">
        <v>-2.8648209906834198E-4</v>
      </c>
      <c r="C112" s="1">
        <v>-7.2394478294480504E-5</v>
      </c>
      <c r="D112" s="1">
        <f t="shared" si="12"/>
        <v>2.1408762077386147E-4</v>
      </c>
      <c r="E112" s="6">
        <v>5</v>
      </c>
      <c r="F112" s="6">
        <v>81.918999999999997</v>
      </c>
      <c r="G112">
        <v>1.902828</v>
      </c>
      <c r="H112" s="2">
        <f t="shared" si="13"/>
        <v>8.0329711999999998E-2</v>
      </c>
      <c r="I112">
        <v>15.992980000000014</v>
      </c>
      <c r="J112" s="7">
        <v>28</v>
      </c>
      <c r="K112">
        <v>40</v>
      </c>
      <c r="L112" s="8">
        <v>31.998000000000001</v>
      </c>
      <c r="M112" s="8">
        <v>1.278</v>
      </c>
      <c r="N112" s="8">
        <f t="shared" si="20"/>
        <v>25.037558685446008</v>
      </c>
      <c r="O112" s="1">
        <f t="shared" si="14"/>
        <v>-1.144209396241456E-2</v>
      </c>
      <c r="P112" s="10">
        <f t="shared" si="15"/>
        <v>-0.20689730154353464</v>
      </c>
      <c r="Q112" s="8">
        <f t="shared" si="21"/>
        <v>-2.8914351915852897E-3</v>
      </c>
      <c r="R112" s="9">
        <f t="shared" si="16"/>
        <v>-5.2283274433167513E-2</v>
      </c>
      <c r="S112" s="10">
        <f t="shared" si="17"/>
        <v>0.15461402711036712</v>
      </c>
      <c r="T112">
        <f t="shared" si="18"/>
        <v>-0.37364921136449375</v>
      </c>
      <c r="U112" s="5">
        <f t="shared" si="19"/>
        <v>0.37364921136449375</v>
      </c>
      <c r="W112" s="32" t="s">
        <v>165</v>
      </c>
      <c r="X112" s="34">
        <v>15</v>
      </c>
      <c r="Y112" s="38" t="s">
        <v>161</v>
      </c>
      <c r="Z112" s="34"/>
      <c r="AA112" s="35"/>
      <c r="AB112">
        <v>25.456179999999978</v>
      </c>
    </row>
    <row r="113" spans="1:28" x14ac:dyDescent="0.2">
      <c r="A113" t="s">
        <v>113</v>
      </c>
      <c r="B113">
        <v>-4.38109252903684E-4</v>
      </c>
      <c r="C113">
        <v>2.6459825513098698E-4</v>
      </c>
      <c r="D113" s="1">
        <f t="shared" si="12"/>
        <v>7.0270750803467098E-4</v>
      </c>
      <c r="E113" s="6">
        <v>6</v>
      </c>
      <c r="F113" s="6">
        <v>82.186000000000007</v>
      </c>
      <c r="G113">
        <v>1.0619239999999999</v>
      </c>
      <c r="H113" s="2">
        <f t="shared" si="13"/>
        <v>8.1318368000000002E-2</v>
      </c>
      <c r="I113">
        <v>9.9365320000000068</v>
      </c>
      <c r="J113" s="7">
        <v>28</v>
      </c>
      <c r="K113">
        <v>40</v>
      </c>
      <c r="L113" s="8">
        <v>31.998000000000001</v>
      </c>
      <c r="M113" s="8">
        <v>1.278</v>
      </c>
      <c r="N113" s="8">
        <f t="shared" si="20"/>
        <v>25.037558685446008</v>
      </c>
      <c r="O113" s="1">
        <f t="shared" si="14"/>
        <v>-1.7498081917960755E-2</v>
      </c>
      <c r="P113" s="10">
        <f t="shared" si="15"/>
        <v>-0.51552147901460577</v>
      </c>
      <c r="Q113" s="8">
        <f t="shared" si="21"/>
        <v>1.0568053317626145E-2</v>
      </c>
      <c r="R113" s="9">
        <f t="shared" si="16"/>
        <v>0.31135175284644939</v>
      </c>
      <c r="S113" s="10">
        <f t="shared" si="17"/>
        <v>0.82687323186105521</v>
      </c>
      <c r="T113">
        <f t="shared" si="18"/>
        <v>-0.80197747865092184</v>
      </c>
      <c r="U113" s="5">
        <f t="shared" si="19"/>
        <v>0.80197747865092184</v>
      </c>
      <c r="W113" s="32" t="s">
        <v>165</v>
      </c>
      <c r="X113" s="34" t="s">
        <v>160</v>
      </c>
      <c r="Y113" s="35">
        <v>0</v>
      </c>
      <c r="Z113" s="34"/>
      <c r="AA113" s="35"/>
      <c r="AB113">
        <v>21.339687999999988</v>
      </c>
    </row>
    <row r="114" spans="1:28" x14ac:dyDescent="0.2">
      <c r="A114" t="s">
        <v>114</v>
      </c>
      <c r="B114">
        <v>-1.10920697864947E-3</v>
      </c>
      <c r="C114">
        <v>3.9717487604886201E-4</v>
      </c>
      <c r="D114" s="1">
        <f t="shared" si="12"/>
        <v>1.5063818546983321E-3</v>
      </c>
      <c r="E114" s="6">
        <v>7</v>
      </c>
      <c r="F114" s="6">
        <v>82.891000000000005</v>
      </c>
      <c r="G114">
        <v>2.3356159999999999</v>
      </c>
      <c r="H114" s="2">
        <f t="shared" si="13"/>
        <v>7.5532576000000004E-2</v>
      </c>
      <c r="I114">
        <v>18.406095999999998</v>
      </c>
      <c r="J114" s="7">
        <v>28</v>
      </c>
      <c r="K114">
        <v>40</v>
      </c>
      <c r="L114" s="8">
        <v>31.998000000000001</v>
      </c>
      <c r="M114" s="8">
        <v>1.278</v>
      </c>
      <c r="N114" s="8">
        <f t="shared" si="20"/>
        <v>25.037558685446008</v>
      </c>
      <c r="O114" s="1">
        <f t="shared" si="14"/>
        <v>-4.4301722567473681E-2</v>
      </c>
      <c r="P114" s="10">
        <f t="shared" si="15"/>
        <v>-0.6544790169697603</v>
      </c>
      <c r="Q114" s="8">
        <f t="shared" si="21"/>
        <v>1.586316305989267E-2</v>
      </c>
      <c r="R114" s="9">
        <f t="shared" si="16"/>
        <v>0.23434997024454557</v>
      </c>
      <c r="S114" s="10">
        <f t="shared" si="17"/>
        <v>0.88882898721430581</v>
      </c>
      <c r="T114">
        <f t="shared" si="18"/>
        <v>-0.67903551081712787</v>
      </c>
      <c r="U114" s="5">
        <f t="shared" si="19"/>
        <v>0.67903551081712787</v>
      </c>
      <c r="W114" s="32" t="s">
        <v>165</v>
      </c>
      <c r="X114" s="34">
        <v>13</v>
      </c>
      <c r="Y114" s="35">
        <v>0</v>
      </c>
      <c r="Z114" s="34"/>
      <c r="AA114" s="35"/>
      <c r="AB114">
        <v>4.5898240000000019</v>
      </c>
    </row>
    <row r="115" spans="1:28" x14ac:dyDescent="0.2">
      <c r="A115" t="s">
        <v>115</v>
      </c>
      <c r="B115">
        <v>-1.01010319897958E-3</v>
      </c>
      <c r="C115">
        <v>2.1828450572149101E-4</v>
      </c>
      <c r="D115" s="1">
        <f t="shared" si="12"/>
        <v>1.228387704701071E-3</v>
      </c>
      <c r="E115" s="6">
        <v>8</v>
      </c>
      <c r="F115" s="6">
        <v>82.2</v>
      </c>
      <c r="G115">
        <v>2.6933600000000002</v>
      </c>
      <c r="H115" s="2">
        <f t="shared" si="13"/>
        <v>8.1719923999999999E-2</v>
      </c>
      <c r="I115">
        <v>21.339687999999988</v>
      </c>
      <c r="J115" s="7">
        <v>28</v>
      </c>
      <c r="K115">
        <v>40</v>
      </c>
      <c r="L115" s="8">
        <v>31.998000000000001</v>
      </c>
      <c r="M115" s="8">
        <v>1.278</v>
      </c>
      <c r="N115" s="8">
        <f t="shared" si="20"/>
        <v>25.037558685446008</v>
      </c>
      <c r="O115" s="1">
        <f t="shared" si="14"/>
        <v>-4.0343517979120676E-2</v>
      </c>
      <c r="P115" s="10">
        <f t="shared" si="15"/>
        <v>-0.5561810089878988</v>
      </c>
      <c r="Q115" s="8">
        <f t="shared" si="21"/>
        <v>8.7182823398982926E-3</v>
      </c>
      <c r="R115" s="9">
        <f t="shared" si="16"/>
        <v>0.12019137921872672</v>
      </c>
      <c r="S115" s="10">
        <f t="shared" si="17"/>
        <v>0.67637238820662549</v>
      </c>
      <c r="T115">
        <f t="shared" si="18"/>
        <v>-0.60805059618759993</v>
      </c>
      <c r="U115" s="5">
        <f t="shared" si="19"/>
        <v>0.60805059618759993</v>
      </c>
      <c r="W115" s="37" t="s">
        <v>165</v>
      </c>
      <c r="X115" s="34">
        <v>14</v>
      </c>
      <c r="Y115" s="35">
        <v>0</v>
      </c>
      <c r="Z115" s="34"/>
      <c r="AA115" s="35"/>
      <c r="AB115">
        <v>8.4697359999999993</v>
      </c>
    </row>
    <row r="116" spans="1:28" s="40" customFormat="1" x14ac:dyDescent="0.2">
      <c r="A116" s="40" t="s">
        <v>116</v>
      </c>
      <c r="B116" s="40">
        <v>-1.6490129696535799E-3</v>
      </c>
      <c r="C116" s="41">
        <v>-1.0430015622389301E-5</v>
      </c>
      <c r="D116" s="41">
        <f t="shared" si="12"/>
        <v>1.6385829540311906E-3</v>
      </c>
      <c r="E116" s="42">
        <v>1</v>
      </c>
      <c r="F116" s="42">
        <v>81.450999999999993</v>
      </c>
      <c r="G116" s="40">
        <v>5.8390399999999998</v>
      </c>
      <c r="H116" s="43">
        <f t="shared" si="13"/>
        <v>8.0211231999999993E-2</v>
      </c>
      <c r="I116" s="40">
        <v>38.61002800000005</v>
      </c>
      <c r="J116" s="44">
        <v>28.5</v>
      </c>
      <c r="K116" s="40">
        <v>40</v>
      </c>
      <c r="L116" s="40">
        <v>31.998000000000001</v>
      </c>
      <c r="M116" s="40">
        <v>1.276</v>
      </c>
      <c r="N116" s="40">
        <f t="shared" si="20"/>
        <v>25.076802507836991</v>
      </c>
      <c r="O116" s="41">
        <f t="shared" si="14"/>
        <v>-6.5758502071315963E-2</v>
      </c>
      <c r="P116" s="45">
        <f t="shared" si="15"/>
        <v>-0.49180108536086203</v>
      </c>
      <c r="Q116" s="40">
        <f t="shared" si="21"/>
        <v>-4.1592286812203096E-4</v>
      </c>
      <c r="R116" s="46">
        <f t="shared" si="16"/>
        <v>-3.1106444265865257E-3</v>
      </c>
      <c r="S116" s="45">
        <f t="shared" si="17"/>
        <v>0.48869044093427549</v>
      </c>
      <c r="T116" s="40">
        <f t="shared" si="18"/>
        <v>-0.49683749739561472</v>
      </c>
      <c r="U116" s="46">
        <f t="shared" si="19"/>
        <v>0.49683749739561472</v>
      </c>
      <c r="W116" s="50" t="s">
        <v>165</v>
      </c>
      <c r="X116" s="49">
        <v>15</v>
      </c>
      <c r="Y116" s="48">
        <v>0</v>
      </c>
      <c r="Z116" s="49"/>
      <c r="AA116" s="48"/>
      <c r="AB116" s="40">
        <v>15.661768000000007</v>
      </c>
    </row>
    <row r="117" spans="1:28" s="40" customFormat="1" x14ac:dyDescent="0.2">
      <c r="A117" s="40" t="s">
        <v>117</v>
      </c>
      <c r="B117" s="40">
        <v>-2.6387140995954097E-4</v>
      </c>
      <c r="C117" s="40">
        <v>-2.1452683737111999E-4</v>
      </c>
      <c r="D117" s="41">
        <f t="shared" ref="D117:D139" si="22">C117-B117</f>
        <v>4.934457258842098E-5</v>
      </c>
      <c r="E117" s="42">
        <v>2</v>
      </c>
      <c r="F117" s="42">
        <v>81.305000000000007</v>
      </c>
      <c r="G117" s="40">
        <v>0.38550000000000001</v>
      </c>
      <c r="H117" s="43">
        <f t="shared" si="13"/>
        <v>8.0702592000000004E-2</v>
      </c>
      <c r="I117" s="40">
        <v>5.7727240000000029</v>
      </c>
      <c r="J117" s="44">
        <v>28.5</v>
      </c>
      <c r="K117" s="40">
        <v>40</v>
      </c>
      <c r="L117" s="40">
        <v>31.998000000000001</v>
      </c>
      <c r="M117" s="40">
        <v>1.276</v>
      </c>
      <c r="N117" s="40">
        <f t="shared" si="20"/>
        <v>25.076802507836991</v>
      </c>
      <c r="O117" s="41">
        <f t="shared" si="14"/>
        <v>-1.0522530130269837E-2</v>
      </c>
      <c r="P117" s="45">
        <f t="shared" si="15"/>
        <v>-0.529577308958326</v>
      </c>
      <c r="Q117" s="40">
        <f t="shared" si="21"/>
        <v>-8.5547923146930775E-3</v>
      </c>
      <c r="R117" s="46">
        <f t="shared" si="16"/>
        <v>-0.43054511002824292</v>
      </c>
      <c r="S117" s="45">
        <f t="shared" si="17"/>
        <v>9.9032198930083082E-2</v>
      </c>
      <c r="T117" s="40">
        <f t="shared" si="18"/>
        <v>-9.3501172779549946E-2</v>
      </c>
      <c r="U117" s="46">
        <f t="shared" si="19"/>
        <v>9.3501172779549946E-2</v>
      </c>
      <c r="W117" s="47" t="s">
        <v>165</v>
      </c>
      <c r="X117" s="49" t="s">
        <v>160</v>
      </c>
      <c r="Y117" s="48">
        <v>1</v>
      </c>
      <c r="Z117" s="49">
        <v>27</v>
      </c>
      <c r="AA117" s="48" t="s">
        <v>163</v>
      </c>
      <c r="AB117" s="40">
        <v>21.387004000000005</v>
      </c>
    </row>
    <row r="118" spans="1:28" s="40" customFormat="1" x14ac:dyDescent="0.2">
      <c r="A118" s="40" t="s">
        <v>118</v>
      </c>
      <c r="B118" s="40">
        <v>-4.3297514295925001E-4</v>
      </c>
      <c r="C118" s="40">
        <v>-2.6938051462180502E-4</v>
      </c>
      <c r="D118" s="41">
        <f t="shared" si="22"/>
        <v>1.6359462833744499E-4</v>
      </c>
      <c r="E118" s="42">
        <v>3</v>
      </c>
      <c r="F118" s="42">
        <v>82.116</v>
      </c>
      <c r="G118" s="40">
        <v>1.1893960000000001</v>
      </c>
      <c r="H118" s="43">
        <f t="shared" si="13"/>
        <v>8.1345000000000001E-2</v>
      </c>
      <c r="I118" s="40">
        <v>11.166747999999998</v>
      </c>
      <c r="J118" s="44">
        <v>28.5</v>
      </c>
      <c r="K118" s="40">
        <v>40</v>
      </c>
      <c r="L118" s="40">
        <v>31.998000000000001</v>
      </c>
      <c r="M118" s="40">
        <v>1.276</v>
      </c>
      <c r="N118" s="40">
        <f t="shared" si="20"/>
        <v>25.076802507836991</v>
      </c>
      <c r="O118" s="41">
        <f t="shared" si="14"/>
        <v>-1.7265962948184353E-2</v>
      </c>
      <c r="P118" s="45">
        <f t="shared" si="15"/>
        <v>-0.45279065325663326</v>
      </c>
      <c r="Q118" s="40">
        <f t="shared" si="21"/>
        <v>-1.0742219409257554E-2</v>
      </c>
      <c r="R118" s="46">
        <f t="shared" si="16"/>
        <v>-0.28170896452985245</v>
      </c>
      <c r="S118" s="45">
        <f t="shared" si="17"/>
        <v>0.17108168872678081</v>
      </c>
      <c r="T118" s="40">
        <f t="shared" si="18"/>
        <v>-0.1889191920110318</v>
      </c>
      <c r="U118" s="46">
        <f t="shared" si="19"/>
        <v>0.1889191920110318</v>
      </c>
      <c r="W118" s="47" t="s">
        <v>165</v>
      </c>
      <c r="X118" s="49">
        <v>13</v>
      </c>
      <c r="Y118" s="48">
        <v>1</v>
      </c>
      <c r="Z118" s="49">
        <v>27</v>
      </c>
      <c r="AA118" s="48" t="s">
        <v>163</v>
      </c>
      <c r="AB118" s="40">
        <v>8.3751040000000003</v>
      </c>
    </row>
    <row r="119" spans="1:28" s="40" customFormat="1" x14ac:dyDescent="0.2">
      <c r="A119" s="40" t="s">
        <v>119</v>
      </c>
      <c r="B119" s="41">
        <v>-7.4287193668870195E-5</v>
      </c>
      <c r="C119" s="40">
        <v>-1.2889083930658701E-4</v>
      </c>
      <c r="D119" s="41">
        <f t="shared" si="22"/>
        <v>-5.4603645637716811E-5</v>
      </c>
      <c r="E119" s="42">
        <v>4</v>
      </c>
      <c r="F119" s="42">
        <v>81.135000000000005</v>
      </c>
      <c r="G119" s="40">
        <v>1.8205879999999999</v>
      </c>
      <c r="H119" s="43">
        <f t="shared" si="13"/>
        <v>8.0424652000000013E-2</v>
      </c>
      <c r="I119" s="40">
        <v>15.425188000000013</v>
      </c>
      <c r="J119" s="44">
        <v>28.5</v>
      </c>
      <c r="K119" s="40">
        <v>40</v>
      </c>
      <c r="L119" s="40">
        <v>31.998000000000001</v>
      </c>
      <c r="M119" s="40">
        <v>1.276</v>
      </c>
      <c r="N119" s="40">
        <f t="shared" si="20"/>
        <v>25.076802507836991</v>
      </c>
      <c r="O119" s="41">
        <f t="shared" si="14"/>
        <v>-2.9623869967334948E-3</v>
      </c>
      <c r="P119" s="45">
        <f t="shared" si="15"/>
        <v>-5.5603613770270975E-2</v>
      </c>
      <c r="Q119" s="40">
        <f t="shared" si="21"/>
        <v>-5.1398434575662547E-3</v>
      </c>
      <c r="R119" s="46">
        <f t="shared" si="16"/>
        <v>-9.6474184760229384E-2</v>
      </c>
      <c r="S119" s="45">
        <f t="shared" si="17"/>
        <v>-4.0870570989958409E-2</v>
      </c>
      <c r="T119" s="40">
        <f t="shared" si="18"/>
        <v>0.36751721892408967</v>
      </c>
      <c r="U119" s="46">
        <f t="shared" si="19"/>
        <v>0.36751721892408967</v>
      </c>
      <c r="W119" s="47" t="s">
        <v>165</v>
      </c>
      <c r="X119" s="49">
        <v>14</v>
      </c>
      <c r="Y119" s="48">
        <v>1</v>
      </c>
      <c r="Z119" s="49">
        <v>27</v>
      </c>
      <c r="AA119" s="48" t="s">
        <v>163</v>
      </c>
      <c r="AB119" s="40">
        <v>17.885619999999992</v>
      </c>
    </row>
    <row r="120" spans="1:28" x14ac:dyDescent="0.2">
      <c r="A120" t="s">
        <v>120</v>
      </c>
      <c r="B120">
        <v>-3.5442907839669698E-4</v>
      </c>
      <c r="C120" s="1">
        <v>-6.5875596802813605E-5</v>
      </c>
      <c r="D120" s="1">
        <f t="shared" si="22"/>
        <v>2.8855348159388336E-4</v>
      </c>
      <c r="E120" s="6">
        <v>5</v>
      </c>
      <c r="F120" s="6">
        <v>81.918999999999997</v>
      </c>
      <c r="G120">
        <v>1.8863799999999999</v>
      </c>
      <c r="H120" s="2">
        <f t="shared" si="13"/>
        <v>8.0809787999999994E-2</v>
      </c>
      <c r="I120">
        <v>14.47886799999999</v>
      </c>
      <c r="J120" s="7">
        <v>28.5</v>
      </c>
      <c r="K120">
        <v>40</v>
      </c>
      <c r="L120" s="8">
        <v>31.998000000000001</v>
      </c>
      <c r="M120" s="8">
        <v>1.276</v>
      </c>
      <c r="N120" s="8">
        <f t="shared" si="20"/>
        <v>25.076802507836991</v>
      </c>
      <c r="O120" s="1">
        <f t="shared" si="14"/>
        <v>-1.4133742859997042E-2</v>
      </c>
      <c r="P120" s="10">
        <f t="shared" si="15"/>
        <v>-0.28398084373628868</v>
      </c>
      <c r="Q120" s="8">
        <f t="shared" si="21"/>
        <v>-2.6269536071126371E-3</v>
      </c>
      <c r="R120" s="9">
        <f t="shared" si="16"/>
        <v>-5.2781807989118176E-2</v>
      </c>
      <c r="S120" s="10">
        <f t="shared" si="17"/>
        <v>0.23119903574717049</v>
      </c>
      <c r="T120">
        <f t="shared" si="18"/>
        <v>-0.40706801329505765</v>
      </c>
      <c r="U120" s="5">
        <f t="shared" si="19"/>
        <v>0.40706801329505765</v>
      </c>
      <c r="W120" s="32" t="s">
        <v>165</v>
      </c>
      <c r="X120" s="34">
        <v>15</v>
      </c>
      <c r="Y120" s="35">
        <v>1</v>
      </c>
      <c r="Z120" s="34">
        <v>27</v>
      </c>
      <c r="AA120" s="35" t="s">
        <v>163</v>
      </c>
      <c r="AB120">
        <v>11.119432000000003</v>
      </c>
    </row>
    <row r="121" spans="1:28" x14ac:dyDescent="0.2">
      <c r="A121" t="s">
        <v>121</v>
      </c>
      <c r="B121">
        <v>-2.4040878003618799E-4</v>
      </c>
      <c r="C121" s="1">
        <v>7.5610858570573201E-5</v>
      </c>
      <c r="D121" s="1">
        <f t="shared" si="22"/>
        <v>3.1601963860676118E-4</v>
      </c>
      <c r="E121" s="6">
        <v>6</v>
      </c>
      <c r="F121" s="6">
        <v>82.186000000000007</v>
      </c>
      <c r="G121">
        <v>1.5070479999999999</v>
      </c>
      <c r="H121" s="2">
        <f t="shared" si="13"/>
        <v>8.1008940000000015E-2</v>
      </c>
      <c r="I121">
        <v>13.579864000000006</v>
      </c>
      <c r="J121" s="7">
        <v>28.5</v>
      </c>
      <c r="K121">
        <v>40</v>
      </c>
      <c r="L121" s="8">
        <v>31.998000000000001</v>
      </c>
      <c r="M121" s="8">
        <v>1.276</v>
      </c>
      <c r="N121" s="8">
        <f t="shared" si="20"/>
        <v>25.076802507836991</v>
      </c>
      <c r="O121" s="1">
        <f t="shared" si="14"/>
        <v>-9.5868992851483176E-3</v>
      </c>
      <c r="P121" s="10">
        <f t="shared" si="15"/>
        <v>-0.20588191283181054</v>
      </c>
      <c r="Q121" s="8">
        <f t="shared" si="21"/>
        <v>3.0151714337162136E-3</v>
      </c>
      <c r="R121" s="9">
        <f t="shared" si="16"/>
        <v>6.4751828910000156E-2</v>
      </c>
      <c r="S121" s="10">
        <f t="shared" si="17"/>
        <v>0.27063374174181071</v>
      </c>
      <c r="T121">
        <f t="shared" si="18"/>
        <v>-0.65725477779803165</v>
      </c>
      <c r="U121" s="5">
        <f t="shared" si="19"/>
        <v>0.65725477779803165</v>
      </c>
      <c r="W121" s="37" t="s">
        <v>165</v>
      </c>
      <c r="X121" s="34" t="s">
        <v>160</v>
      </c>
      <c r="Y121" s="35">
        <v>1</v>
      </c>
      <c r="Z121" s="34">
        <v>27</v>
      </c>
      <c r="AA121" s="35" t="s">
        <v>164</v>
      </c>
      <c r="AB121">
        <v>8.6590000000000007</v>
      </c>
    </row>
    <row r="122" spans="1:28" x14ac:dyDescent="0.2">
      <c r="A122" t="s">
        <v>122</v>
      </c>
      <c r="B122">
        <v>-1.02272191733034E-3</v>
      </c>
      <c r="C122" s="1">
        <v>6.2642666894629202E-5</v>
      </c>
      <c r="D122" s="1">
        <f t="shared" si="22"/>
        <v>1.0853645842249693E-3</v>
      </c>
      <c r="E122" s="6">
        <v>7</v>
      </c>
      <c r="F122" s="6">
        <v>82.891000000000005</v>
      </c>
      <c r="G122">
        <v>2.2883279999999999</v>
      </c>
      <c r="H122" s="2">
        <f t="shared" si="13"/>
        <v>8.2891000000000006E-2</v>
      </c>
      <c r="I122">
        <v>19.021203999999994</v>
      </c>
      <c r="J122" s="7">
        <v>28.5</v>
      </c>
      <c r="K122">
        <v>40</v>
      </c>
      <c r="L122" s="8">
        <v>31.998000000000001</v>
      </c>
      <c r="M122" s="8">
        <v>1.276</v>
      </c>
      <c r="N122" s="8">
        <f t="shared" si="20"/>
        <v>25.076802507836991</v>
      </c>
      <c r="O122" s="1">
        <f t="shared" si="14"/>
        <v>-4.0783585427636541E-2</v>
      </c>
      <c r="P122" s="10">
        <f t="shared" si="15"/>
        <v>-0.63981921685167764</v>
      </c>
      <c r="Q122" s="8">
        <f t="shared" si="21"/>
        <v>2.4980324694526801E-3</v>
      </c>
      <c r="R122" s="9">
        <f t="shared" si="16"/>
        <v>3.9189521017252531E-2</v>
      </c>
      <c r="S122" s="10">
        <f t="shared" si="17"/>
        <v>0.67900873786893012</v>
      </c>
      <c r="T122">
        <f t="shared" si="18"/>
        <v>-0.53062546418196865</v>
      </c>
      <c r="U122" s="5">
        <f t="shared" si="19"/>
        <v>0.53062546418196865</v>
      </c>
      <c r="W122" s="37" t="s">
        <v>165</v>
      </c>
      <c r="X122" s="34">
        <v>13</v>
      </c>
      <c r="Y122" s="35">
        <v>1</v>
      </c>
      <c r="Z122" s="34">
        <v>27</v>
      </c>
      <c r="AA122" s="35" t="s">
        <v>164</v>
      </c>
      <c r="AB122">
        <v>12.870123999999999</v>
      </c>
    </row>
    <row r="123" spans="1:28" x14ac:dyDescent="0.2">
      <c r="A123" t="s">
        <v>123</v>
      </c>
      <c r="B123">
        <v>-6.2123545095810998E-4</v>
      </c>
      <c r="C123" s="1">
        <v>2.3445083909092998E-5</v>
      </c>
      <c r="D123" s="1">
        <f t="shared" si="22"/>
        <v>6.4468053486720295E-4</v>
      </c>
      <c r="E123" s="6">
        <v>8</v>
      </c>
      <c r="F123" s="6">
        <v>82.2</v>
      </c>
      <c r="G123">
        <v>0.81520400000000004</v>
      </c>
      <c r="H123" s="2">
        <f t="shared" si="13"/>
        <v>8.2200000000000009E-2</v>
      </c>
      <c r="I123">
        <v>7.5234159999999992</v>
      </c>
      <c r="J123" s="7">
        <v>28.5</v>
      </c>
      <c r="K123">
        <v>40</v>
      </c>
      <c r="L123" s="8">
        <v>31.998000000000001</v>
      </c>
      <c r="M123" s="8">
        <v>1.276</v>
      </c>
      <c r="N123" s="8">
        <f t="shared" si="20"/>
        <v>25.076802507836991</v>
      </c>
      <c r="O123" s="1">
        <f t="shared" si="14"/>
        <v>-2.4773311938950819E-2</v>
      </c>
      <c r="P123" s="10">
        <f t="shared" si="15"/>
        <v>-0.97441354684817738</v>
      </c>
      <c r="Q123" s="8">
        <f t="shared" si="21"/>
        <v>9.3493115407221274E-4</v>
      </c>
      <c r="R123" s="9">
        <f t="shared" si="16"/>
        <v>3.6773830812100408E-2</v>
      </c>
      <c r="S123" s="10">
        <f t="shared" si="17"/>
        <v>1.0111873776602778</v>
      </c>
      <c r="T123">
        <f t="shared" si="18"/>
        <v>-0.51886972473394311</v>
      </c>
      <c r="U123" s="5">
        <f t="shared" si="19"/>
        <v>0.51886972473394311</v>
      </c>
      <c r="W123" s="32" t="s">
        <v>165</v>
      </c>
      <c r="X123" s="34">
        <v>14</v>
      </c>
      <c r="Y123" s="35">
        <v>1</v>
      </c>
      <c r="Z123" s="34">
        <v>27</v>
      </c>
      <c r="AA123" s="35" t="s">
        <v>164</v>
      </c>
      <c r="AB123">
        <v>10.504324000000008</v>
      </c>
    </row>
    <row r="124" spans="1:28" x14ac:dyDescent="0.2">
      <c r="A124" t="s">
        <v>124</v>
      </c>
      <c r="B124">
        <v>-8.6578262273631699E-4</v>
      </c>
      <c r="C124">
        <v>-1.33618488288144E-4</v>
      </c>
      <c r="D124" s="1">
        <f t="shared" si="22"/>
        <v>7.3216413444817296E-4</v>
      </c>
      <c r="E124" s="6">
        <v>1</v>
      </c>
      <c r="F124" s="6">
        <v>81.450999999999993</v>
      </c>
      <c r="G124">
        <v>2.576168</v>
      </c>
      <c r="H124" s="2">
        <f t="shared" si="13"/>
        <v>8.1450999999999996E-2</v>
      </c>
      <c r="I124">
        <v>15.945663999999997</v>
      </c>
      <c r="J124" s="7">
        <v>27</v>
      </c>
      <c r="K124">
        <v>40</v>
      </c>
      <c r="L124" s="8">
        <v>31.998000000000001</v>
      </c>
      <c r="M124" s="8">
        <v>1.2829999999999999</v>
      </c>
      <c r="N124" s="8">
        <f t="shared" si="20"/>
        <v>24.939984411535466</v>
      </c>
      <c r="O124" s="1">
        <f t="shared" si="14"/>
        <v>-3.4714641695440175E-2</v>
      </c>
      <c r="P124" s="10">
        <f t="shared" si="15"/>
        <v>-0.63836490036708871</v>
      </c>
      <c r="Q124" s="8">
        <f t="shared" si="21"/>
        <v>-5.3576011148724519E-3</v>
      </c>
      <c r="R124" s="9">
        <f t="shared" si="16"/>
        <v>-9.8520518572755206E-2</v>
      </c>
      <c r="S124" s="10">
        <f t="shared" si="17"/>
        <v>0.53984438179433347</v>
      </c>
      <c r="T124">
        <f t="shared" si="18"/>
        <v>-0.42283369706252527</v>
      </c>
      <c r="U124" s="5">
        <f t="shared" si="19"/>
        <v>0.42283369706252527</v>
      </c>
      <c r="W124" s="32" t="s">
        <v>165</v>
      </c>
      <c r="X124" s="34">
        <v>15</v>
      </c>
      <c r="Y124" s="35">
        <v>1</v>
      </c>
      <c r="Z124" s="34">
        <v>27</v>
      </c>
      <c r="AA124" s="35" t="s">
        <v>164</v>
      </c>
      <c r="AB124">
        <v>11.308695999999992</v>
      </c>
    </row>
    <row r="125" spans="1:28" x14ac:dyDescent="0.2">
      <c r="A125" t="s">
        <v>125</v>
      </c>
      <c r="B125">
        <v>-1.05079340915101E-4</v>
      </c>
      <c r="C125" s="1">
        <v>4.38367210606243E-5</v>
      </c>
      <c r="D125" s="1">
        <f t="shared" si="22"/>
        <v>1.489160619757253E-4</v>
      </c>
      <c r="E125" s="6">
        <v>2</v>
      </c>
      <c r="F125" s="6">
        <v>81.305000000000007</v>
      </c>
      <c r="G125">
        <v>0.34540800000000005</v>
      </c>
      <c r="H125" s="2">
        <f t="shared" si="13"/>
        <v>8.1305000000000002E-2</v>
      </c>
      <c r="I125">
        <v>5.3941960000000027</v>
      </c>
      <c r="J125" s="7">
        <v>27</v>
      </c>
      <c r="K125">
        <v>40</v>
      </c>
      <c r="L125" s="8">
        <v>31.998000000000001</v>
      </c>
      <c r="M125" s="8">
        <v>1.2829999999999999</v>
      </c>
      <c r="N125" s="8">
        <f t="shared" si="20"/>
        <v>24.939984411535466</v>
      </c>
      <c r="O125" s="1">
        <f t="shared" si="14"/>
        <v>-4.2132881553245379E-3</v>
      </c>
      <c r="P125" s="10">
        <f t="shared" si="15"/>
        <v>-0.22861998646085183</v>
      </c>
      <c r="Q125" s="8">
        <f t="shared" si="21"/>
        <v>1.7576883905488147E-3</v>
      </c>
      <c r="R125" s="9">
        <f t="shared" si="16"/>
        <v>9.5375080278294805E-2</v>
      </c>
      <c r="S125" s="10">
        <f t="shared" si="17"/>
        <v>0.32399506673914663</v>
      </c>
      <c r="T125">
        <f t="shared" si="18"/>
        <v>-0.70858867537074788</v>
      </c>
      <c r="U125" s="5">
        <f t="shared" si="19"/>
        <v>0.70858867537074788</v>
      </c>
      <c r="W125" s="32" t="s">
        <v>165</v>
      </c>
      <c r="X125" s="34" t="s">
        <v>160</v>
      </c>
      <c r="Y125" s="35">
        <v>1</v>
      </c>
      <c r="Z125" s="34">
        <v>29.5</v>
      </c>
      <c r="AA125" s="35" t="s">
        <v>163</v>
      </c>
      <c r="AB125">
        <v>8.8482640000000004</v>
      </c>
    </row>
    <row r="126" spans="1:28" x14ac:dyDescent="0.2">
      <c r="A126" t="s">
        <v>126</v>
      </c>
      <c r="B126">
        <v>-8.3962302487687796E-4</v>
      </c>
      <c r="C126">
        <v>-1.6885279778193E-4</v>
      </c>
      <c r="D126" s="1">
        <f t="shared" si="22"/>
        <v>6.7077022709494799E-4</v>
      </c>
      <c r="E126" s="6">
        <v>3</v>
      </c>
      <c r="F126" s="6">
        <v>82.116</v>
      </c>
      <c r="G126">
        <v>2.0436640000000001</v>
      </c>
      <c r="H126" s="2">
        <f t="shared" si="13"/>
        <v>8.2115999999999995E-2</v>
      </c>
      <c r="I126">
        <v>17.081247999999999</v>
      </c>
      <c r="J126" s="7">
        <v>27</v>
      </c>
      <c r="K126">
        <v>40</v>
      </c>
      <c r="L126" s="8">
        <v>31.998000000000001</v>
      </c>
      <c r="M126" s="8">
        <v>1.2829999999999999</v>
      </c>
      <c r="N126" s="8">
        <f t="shared" si="20"/>
        <v>24.939984411535466</v>
      </c>
      <c r="O126" s="1">
        <f t="shared" si="14"/>
        <v>-3.3665739762392476E-2</v>
      </c>
      <c r="P126" s="10">
        <f t="shared" si="15"/>
        <v>-0.58263805963024684</v>
      </c>
      <c r="Q126" s="8">
        <f t="shared" si="21"/>
        <v>-6.7703650088823102E-3</v>
      </c>
      <c r="R126" s="9">
        <f t="shared" si="16"/>
        <v>-0.11717171105119292</v>
      </c>
      <c r="S126" s="10">
        <f t="shared" si="17"/>
        <v>0.46546634857905389</v>
      </c>
      <c r="T126">
        <f t="shared" si="18"/>
        <v>-0.39944725622151056</v>
      </c>
      <c r="U126" s="5">
        <f t="shared" si="19"/>
        <v>0.39944725622151056</v>
      </c>
      <c r="W126" s="32" t="s">
        <v>165</v>
      </c>
      <c r="X126" s="34">
        <v>13</v>
      </c>
      <c r="Y126" s="35">
        <v>1</v>
      </c>
      <c r="Z126" s="34">
        <v>29.5</v>
      </c>
      <c r="AA126" s="35" t="s">
        <v>163</v>
      </c>
      <c r="AB126">
        <v>10.930167999999993</v>
      </c>
    </row>
    <row r="127" spans="1:28" x14ac:dyDescent="0.2">
      <c r="A127" t="s">
        <v>127</v>
      </c>
      <c r="B127">
        <v>-1.85067501499241E-4</v>
      </c>
      <c r="C127" s="1">
        <v>-2.2594539150582399E-5</v>
      </c>
      <c r="D127" s="1">
        <f t="shared" si="22"/>
        <v>1.6247296234865859E-4</v>
      </c>
      <c r="E127" s="6">
        <v>4</v>
      </c>
      <c r="F127" s="6">
        <v>81.135000000000005</v>
      </c>
      <c r="G127">
        <v>0.54278400000000004</v>
      </c>
      <c r="H127" s="2">
        <f t="shared" si="13"/>
        <v>8.1134999999999999E-2</v>
      </c>
      <c r="I127">
        <v>11.214064000000002</v>
      </c>
      <c r="J127" s="7">
        <v>27</v>
      </c>
      <c r="K127">
        <v>40</v>
      </c>
      <c r="L127" s="8">
        <v>31.998000000000001</v>
      </c>
      <c r="M127" s="8">
        <v>1.2829999999999999</v>
      </c>
      <c r="N127" s="8">
        <f t="shared" si="20"/>
        <v>24.939984411535466</v>
      </c>
      <c r="O127" s="1">
        <f t="shared" si="14"/>
        <v>-7.4205139203552158E-3</v>
      </c>
      <c r="P127" s="10">
        <f t="shared" si="15"/>
        <v>-0.19327767604508705</v>
      </c>
      <c r="Q127" s="8">
        <f t="shared" si="21"/>
        <v>-9.059564263453095E-4</v>
      </c>
      <c r="R127" s="9">
        <f t="shared" si="16"/>
        <v>-2.3596903740293974E-2</v>
      </c>
      <c r="S127" s="10">
        <f t="shared" si="17"/>
        <v>0.16968077230479309</v>
      </c>
      <c r="T127">
        <f t="shared" si="18"/>
        <v>-0.43895595129468196</v>
      </c>
      <c r="U127" s="5">
        <f t="shared" si="19"/>
        <v>0.43895595129468196</v>
      </c>
      <c r="W127" s="32" t="s">
        <v>165</v>
      </c>
      <c r="X127" s="34">
        <v>14</v>
      </c>
      <c r="Y127" s="35">
        <v>1</v>
      </c>
      <c r="Z127" s="34">
        <v>29.5</v>
      </c>
      <c r="AA127" s="35" t="s">
        <v>163</v>
      </c>
      <c r="AB127">
        <v>5.1576160000000026</v>
      </c>
    </row>
    <row r="128" spans="1:28" x14ac:dyDescent="0.2">
      <c r="A128" t="s">
        <v>128</v>
      </c>
      <c r="B128">
        <v>-1.1705959380492799E-3</v>
      </c>
      <c r="C128" s="1">
        <v>-4.25460506217068E-5</v>
      </c>
      <c r="D128" s="1">
        <f t="shared" si="22"/>
        <v>1.1280498874275732E-3</v>
      </c>
      <c r="E128" s="6">
        <v>5</v>
      </c>
      <c r="F128" s="6">
        <v>81.918999999999997</v>
      </c>
      <c r="G128">
        <v>4.5139480000000001</v>
      </c>
      <c r="H128" s="2">
        <f t="shared" si="13"/>
        <v>8.1918999999999992E-2</v>
      </c>
      <c r="I128">
        <v>31.086784000000009</v>
      </c>
      <c r="J128" s="7">
        <v>27</v>
      </c>
      <c r="K128">
        <v>40</v>
      </c>
      <c r="L128" s="8">
        <v>31.998000000000001</v>
      </c>
      <c r="M128" s="8">
        <v>1.2829999999999999</v>
      </c>
      <c r="N128" s="8">
        <f t="shared" si="20"/>
        <v>24.939984411535466</v>
      </c>
      <c r="O128" s="1">
        <f t="shared" si="14"/>
        <v>-4.6936514423314764E-2</v>
      </c>
      <c r="P128" s="10">
        <f t="shared" si="15"/>
        <v>-0.44526871516065075</v>
      </c>
      <c r="Q128" s="8">
        <f t="shared" si="21"/>
        <v>-1.7059373381976943E-3</v>
      </c>
      <c r="R128" s="9">
        <f t="shared" si="16"/>
        <v>-1.6183573408820311E-2</v>
      </c>
      <c r="S128" s="10">
        <f t="shared" si="17"/>
        <v>0.42908514175183043</v>
      </c>
      <c r="T128">
        <f t="shared" si="18"/>
        <v>-0.48182718338634978</v>
      </c>
      <c r="U128" s="5">
        <f t="shared" si="19"/>
        <v>0.48182718338634978</v>
      </c>
      <c r="W128" s="37" t="s">
        <v>165</v>
      </c>
      <c r="X128" s="34">
        <v>15</v>
      </c>
      <c r="Y128" s="35">
        <v>1</v>
      </c>
      <c r="Z128" s="34">
        <v>29.5</v>
      </c>
      <c r="AA128" s="35" t="s">
        <v>163</v>
      </c>
      <c r="AB128">
        <v>8.1385240000000056</v>
      </c>
    </row>
    <row r="129" spans="1:28" x14ac:dyDescent="0.2">
      <c r="A129" t="s">
        <v>129</v>
      </c>
      <c r="B129">
        <v>-3.7207308038446802E-4</v>
      </c>
      <c r="C129" s="1">
        <v>4.9482828778047599E-5</v>
      </c>
      <c r="D129" s="1">
        <f t="shared" si="22"/>
        <v>4.2155590916251562E-4</v>
      </c>
      <c r="E129" s="6">
        <v>6</v>
      </c>
      <c r="F129" s="6">
        <v>82.186000000000007</v>
      </c>
      <c r="G129">
        <v>1.3158400000000001</v>
      </c>
      <c r="H129" s="2">
        <f t="shared" si="13"/>
        <v>8.2186000000000009E-2</v>
      </c>
      <c r="I129">
        <v>12.964756</v>
      </c>
      <c r="J129" s="7">
        <v>27</v>
      </c>
      <c r="K129">
        <v>40</v>
      </c>
      <c r="L129" s="8">
        <v>31.998000000000001</v>
      </c>
      <c r="M129" s="8">
        <v>1.2829999999999999</v>
      </c>
      <c r="N129" s="8">
        <f t="shared" si="20"/>
        <v>24.939984411535466</v>
      </c>
      <c r="O129" s="1">
        <f t="shared" si="14"/>
        <v>-1.4918737487757749E-2</v>
      </c>
      <c r="P129" s="10">
        <f t="shared" si="15"/>
        <v>-0.34046154767647696</v>
      </c>
      <c r="Q129" s="8">
        <f t="shared" si="21"/>
        <v>1.9840761710805382E-3</v>
      </c>
      <c r="R129" s="9">
        <f t="shared" si="16"/>
        <v>4.5278740541444082E-2</v>
      </c>
      <c r="S129" s="10">
        <f t="shared" si="17"/>
        <v>0.38574028821792106</v>
      </c>
      <c r="T129">
        <f t="shared" si="18"/>
        <v>-0.56649611512732434</v>
      </c>
      <c r="U129" s="5">
        <f t="shared" si="19"/>
        <v>0.56649611512732434</v>
      </c>
      <c r="W129" s="32" t="s">
        <v>165</v>
      </c>
      <c r="X129" s="34" t="s">
        <v>160</v>
      </c>
      <c r="Y129" s="35">
        <v>1</v>
      </c>
      <c r="Z129" s="34">
        <v>29.5</v>
      </c>
      <c r="AA129" s="35" t="s">
        <v>164</v>
      </c>
      <c r="AB129">
        <v>16.844667999999981</v>
      </c>
    </row>
    <row r="130" spans="1:28" x14ac:dyDescent="0.2">
      <c r="A130" t="s">
        <v>130</v>
      </c>
      <c r="B130">
        <v>-6.52847680097224E-4</v>
      </c>
      <c r="C130" s="1">
        <v>8.8525862831710997E-5</v>
      </c>
      <c r="D130" s="1">
        <f t="shared" si="22"/>
        <v>7.4137354292893502E-4</v>
      </c>
      <c r="E130" s="6">
        <v>7</v>
      </c>
      <c r="F130" s="6">
        <v>82.891000000000005</v>
      </c>
      <c r="G130">
        <v>1.589288</v>
      </c>
      <c r="H130" s="2">
        <f t="shared" si="13"/>
        <v>8.2891000000000006E-2</v>
      </c>
      <c r="I130">
        <v>14.147655999999985</v>
      </c>
      <c r="J130" s="7">
        <v>27</v>
      </c>
      <c r="K130">
        <v>40</v>
      </c>
      <c r="L130" s="8">
        <v>31.998000000000001</v>
      </c>
      <c r="M130" s="8">
        <v>1.2829999999999999</v>
      </c>
      <c r="N130" s="8">
        <f t="shared" si="20"/>
        <v>24.939984411535466</v>
      </c>
      <c r="O130" s="1">
        <f t="shared" si="14"/>
        <v>-2.6176747720630614E-2</v>
      </c>
      <c r="P130" s="10">
        <f t="shared" si="15"/>
        <v>-0.55212965759973665</v>
      </c>
      <c r="Q130" s="8">
        <f t="shared" si="21"/>
        <v>3.5495556601376713E-3</v>
      </c>
      <c r="R130" s="9">
        <f t="shared" si="16"/>
        <v>7.4868542577519501E-2</v>
      </c>
      <c r="S130" s="10">
        <f t="shared" si="17"/>
        <v>0.62699820017725616</v>
      </c>
      <c r="T130">
        <f t="shared" si="18"/>
        <v>-0.56779978357166527</v>
      </c>
      <c r="U130" s="5">
        <f t="shared" si="19"/>
        <v>0.56779978357166527</v>
      </c>
      <c r="W130" s="32" t="s">
        <v>165</v>
      </c>
      <c r="X130" s="34">
        <v>13</v>
      </c>
      <c r="Y130" s="35">
        <v>1</v>
      </c>
      <c r="Z130" s="34">
        <v>29.5</v>
      </c>
      <c r="AA130" s="35" t="s">
        <v>164</v>
      </c>
      <c r="AB130">
        <v>6.1512519999999977</v>
      </c>
    </row>
    <row r="131" spans="1:28" x14ac:dyDescent="0.2">
      <c r="A131" t="s">
        <v>131</v>
      </c>
      <c r="B131">
        <v>-2.9284314953817502E-4</v>
      </c>
      <c r="C131" s="1">
        <v>5.0061689551103602E-5</v>
      </c>
      <c r="D131" s="1">
        <f t="shared" si="22"/>
        <v>3.4290483908927863E-4</v>
      </c>
      <c r="E131" s="6">
        <v>8</v>
      </c>
      <c r="F131" s="6">
        <v>82.2</v>
      </c>
      <c r="G131">
        <v>0.86763199999999996</v>
      </c>
      <c r="H131" s="2">
        <f t="shared" ref="H131:H139" si="23">(F131-G149)/1000</f>
        <v>8.2200000000000009E-2</v>
      </c>
      <c r="I131">
        <v>8.8009480000000053</v>
      </c>
      <c r="J131" s="7">
        <v>27</v>
      </c>
      <c r="K131">
        <v>40</v>
      </c>
      <c r="L131" s="8">
        <v>31.998000000000001</v>
      </c>
      <c r="M131" s="8">
        <v>1.2829999999999999</v>
      </c>
      <c r="N131" s="8">
        <f t="shared" si="20"/>
        <v>24.939984411535466</v>
      </c>
      <c r="O131" s="1">
        <f t="shared" ref="O131:O139" si="24">(B131*1000)/N131</f>
        <v>-1.174191389641473E-2</v>
      </c>
      <c r="P131" s="10">
        <f t="shared" ref="P131:P139" si="25">((O131*H131)*3600)/I131</f>
        <v>-0.39480600956022527</v>
      </c>
      <c r="Q131" s="8">
        <f t="shared" si="21"/>
        <v>2.007286320834612E-3</v>
      </c>
      <c r="R131" s="9">
        <f t="shared" ref="R131:R139" si="26">((Q131*H131)*3600)/I131</f>
        <v>6.7492293791689043E-2</v>
      </c>
      <c r="S131" s="10">
        <f t="shared" ref="S131:S139" si="27">R131-P131</f>
        <v>0.4622983033519143</v>
      </c>
      <c r="T131">
        <f t="shared" ref="T131:T139" si="28">(S131*12)/(P131*24)</f>
        <v>-0.58547526146685147</v>
      </c>
      <c r="U131" s="5">
        <f t="shared" ref="U131:U139" si="29">SQRT(T131^2)</f>
        <v>0.58547526146685147</v>
      </c>
      <c r="W131" s="32" t="s">
        <v>165</v>
      </c>
      <c r="X131" s="34">
        <v>14</v>
      </c>
      <c r="Y131" s="35">
        <v>1</v>
      </c>
      <c r="Z131" s="34">
        <v>29.5</v>
      </c>
      <c r="AA131" s="35" t="s">
        <v>164</v>
      </c>
      <c r="AB131">
        <v>8.990212000000005</v>
      </c>
    </row>
    <row r="132" spans="1:28" s="17" customFormat="1" x14ac:dyDescent="0.2">
      <c r="A132" s="17" t="s">
        <v>132</v>
      </c>
      <c r="B132" s="17">
        <v>-8.1984419221557605E-4</v>
      </c>
      <c r="C132" s="17">
        <v>-3.8305070643236699E-4</v>
      </c>
      <c r="D132" s="18">
        <f t="shared" si="22"/>
        <v>4.3679348578320906E-4</v>
      </c>
      <c r="E132" s="17">
        <v>1</v>
      </c>
      <c r="F132" s="17">
        <v>81.450999999999993</v>
      </c>
      <c r="G132" s="17">
        <v>7.3584240000000003</v>
      </c>
      <c r="H132" s="19">
        <f t="shared" si="23"/>
        <v>8.1450999999999996E-2</v>
      </c>
      <c r="I132">
        <v>37.994919999999965</v>
      </c>
      <c r="J132" s="20">
        <v>26</v>
      </c>
      <c r="K132" s="17">
        <v>40</v>
      </c>
      <c r="L132" s="21">
        <v>31.998000000000001</v>
      </c>
      <c r="M132" s="21">
        <v>1.2869999999999999</v>
      </c>
      <c r="N132" s="21">
        <f t="shared" si="20"/>
        <v>24.862470862470865</v>
      </c>
      <c r="O132" s="18">
        <f t="shared" si="24"/>
        <v>-3.2975169553767308E-2</v>
      </c>
      <c r="P132" s="22">
        <f t="shared" si="25"/>
        <v>-0.25448396593981654</v>
      </c>
      <c r="Q132" s="21">
        <f t="shared" si="21"/>
        <v>-1.5406783523296965E-2</v>
      </c>
      <c r="R132" s="23">
        <f t="shared" si="26"/>
        <v>-0.11890096173703811</v>
      </c>
      <c r="S132" s="22">
        <f t="shared" si="27"/>
        <v>0.13558300420277841</v>
      </c>
      <c r="T132" s="17">
        <f t="shared" si="28"/>
        <v>-0.26638810760054477</v>
      </c>
      <c r="U132" s="24">
        <f t="shared" si="29"/>
        <v>0.26638810760054477</v>
      </c>
      <c r="W132" s="32" t="s">
        <v>165</v>
      </c>
      <c r="X132" s="34">
        <v>15</v>
      </c>
      <c r="Y132" s="35">
        <v>1</v>
      </c>
      <c r="Z132" s="34">
        <v>29.5</v>
      </c>
      <c r="AA132" s="35" t="s">
        <v>164</v>
      </c>
      <c r="AB132">
        <v>10.125795999999996</v>
      </c>
    </row>
    <row r="133" spans="1:28" s="17" customFormat="1" x14ac:dyDescent="0.2">
      <c r="A133" s="17" t="s">
        <v>133</v>
      </c>
      <c r="B133" s="18">
        <v>-1.24729984942771E-6</v>
      </c>
      <c r="C133" s="17">
        <v>1.3497529434610599E-4</v>
      </c>
      <c r="D133" s="18">
        <f t="shared" si="22"/>
        <v>1.362225941955337E-4</v>
      </c>
      <c r="E133" s="17">
        <v>2</v>
      </c>
      <c r="F133" s="17">
        <v>81.305000000000007</v>
      </c>
      <c r="G133" s="17">
        <v>0.48007600000000006</v>
      </c>
      <c r="H133" s="19">
        <f t="shared" si="23"/>
        <v>8.1305000000000002E-2</v>
      </c>
      <c r="I133">
        <v>7.2868359999999992</v>
      </c>
      <c r="J133" s="20">
        <v>26</v>
      </c>
      <c r="K133" s="17">
        <v>40</v>
      </c>
      <c r="L133" s="21">
        <v>31.998000000000001</v>
      </c>
      <c r="M133" s="21">
        <v>1.2869999999999999</v>
      </c>
      <c r="N133" s="21">
        <f t="shared" si="20"/>
        <v>24.862470862470865</v>
      </c>
      <c r="O133" s="18">
        <f t="shared" si="24"/>
        <v>-5.0167976317690562E-5</v>
      </c>
      <c r="P133" s="22">
        <f t="shared" si="25"/>
        <v>-2.0151498307681677E-3</v>
      </c>
      <c r="Q133" s="21">
        <f t="shared" si="21"/>
        <v>5.4288769242902182E-3</v>
      </c>
      <c r="R133" s="23">
        <f t="shared" si="26"/>
        <v>0.21806740511051689</v>
      </c>
      <c r="S133" s="22">
        <f t="shared" si="27"/>
        <v>0.22008255494128506</v>
      </c>
      <c r="T133" s="17">
        <f t="shared" si="28"/>
        <v>-54.606995366044423</v>
      </c>
      <c r="U133" s="24">
        <f t="shared" si="29"/>
        <v>54.606995366044423</v>
      </c>
      <c r="W133" s="32" t="s">
        <v>165</v>
      </c>
      <c r="X133" s="34" t="s">
        <v>160</v>
      </c>
      <c r="Y133" s="35">
        <v>1</v>
      </c>
      <c r="Z133" s="34">
        <v>32</v>
      </c>
      <c r="AA133" s="35" t="s">
        <v>163</v>
      </c>
      <c r="AB133">
        <v>8.4697359999999993</v>
      </c>
    </row>
    <row r="134" spans="1:28" s="17" customFormat="1" x14ac:dyDescent="0.2">
      <c r="A134" s="17" t="s">
        <v>134</v>
      </c>
      <c r="B134" s="18">
        <v>-6.2649654508641704E-5</v>
      </c>
      <c r="C134" s="17">
        <v>1.15363229134139E-4</v>
      </c>
      <c r="D134" s="18">
        <f t="shared" si="22"/>
        <v>1.7801288364278071E-4</v>
      </c>
      <c r="E134" s="17">
        <v>3</v>
      </c>
      <c r="F134" s="17">
        <v>82.116</v>
      </c>
      <c r="G134" s="17">
        <v>1.239768</v>
      </c>
      <c r="H134" s="19">
        <f t="shared" si="23"/>
        <v>8.2115999999999995E-2</v>
      </c>
      <c r="I134">
        <v>11.592591999999993</v>
      </c>
      <c r="J134" s="20">
        <v>26</v>
      </c>
      <c r="K134" s="17">
        <v>40</v>
      </c>
      <c r="L134" s="21">
        <v>31.998000000000001</v>
      </c>
      <c r="M134" s="21">
        <v>1.2869999999999999</v>
      </c>
      <c r="N134" s="21">
        <f t="shared" si="20"/>
        <v>24.862470862470865</v>
      </c>
      <c r="O134" s="18">
        <f t="shared" si="24"/>
        <v>-2.5198482827871078E-3</v>
      </c>
      <c r="P134" s="22">
        <f t="shared" si="25"/>
        <v>-6.4257544966789704E-2</v>
      </c>
      <c r="Q134" s="21">
        <f t="shared" si="21"/>
        <v>4.6400548751683503E-3</v>
      </c>
      <c r="R134" s="23">
        <f t="shared" si="26"/>
        <v>0.1183240026100779</v>
      </c>
      <c r="S134" s="22">
        <f t="shared" si="27"/>
        <v>0.18258154757686762</v>
      </c>
      <c r="T134" s="17">
        <f t="shared" si="28"/>
        <v>-1.4207012396072043</v>
      </c>
      <c r="U134" s="24">
        <f t="shared" si="29"/>
        <v>1.4207012396072043</v>
      </c>
      <c r="W134" s="37" t="s">
        <v>165</v>
      </c>
      <c r="X134" s="34">
        <v>13</v>
      </c>
      <c r="Y134" s="35">
        <v>1</v>
      </c>
      <c r="Z134" s="34">
        <v>32</v>
      </c>
      <c r="AA134" s="35" t="s">
        <v>163</v>
      </c>
      <c r="AB134">
        <v>11.781855999999992</v>
      </c>
    </row>
    <row r="135" spans="1:28" s="17" customFormat="1" x14ac:dyDescent="0.2">
      <c r="A135" s="17" t="s">
        <v>135</v>
      </c>
      <c r="B135" s="18">
        <v>-6.0385234200943197E-5</v>
      </c>
      <c r="C135" s="18">
        <v>8.2382419422711702E-5</v>
      </c>
      <c r="D135" s="18">
        <f t="shared" si="22"/>
        <v>1.427676536236549E-4</v>
      </c>
      <c r="E135" s="17">
        <v>4</v>
      </c>
      <c r="F135" s="17">
        <v>81.135000000000005</v>
      </c>
      <c r="G135" s="17">
        <v>0.60240799999999994</v>
      </c>
      <c r="H135" s="19">
        <f t="shared" si="23"/>
        <v>8.1134999999999999E-2</v>
      </c>
      <c r="I135">
        <v>8.091208</v>
      </c>
      <c r="J135" s="20">
        <v>26</v>
      </c>
      <c r="K135" s="17">
        <v>40</v>
      </c>
      <c r="L135" s="21">
        <v>31.998000000000001</v>
      </c>
      <c r="M135" s="21">
        <v>1.2869999999999999</v>
      </c>
      <c r="N135" s="21">
        <f t="shared" si="20"/>
        <v>24.862470862470865</v>
      </c>
      <c r="O135" s="18">
        <f t="shared" si="24"/>
        <v>-2.4287704361714447E-3</v>
      </c>
      <c r="P135" s="22">
        <f t="shared" si="25"/>
        <v>-8.7676628955722383E-2</v>
      </c>
      <c r="Q135" s="21">
        <f t="shared" si="21"/>
        <v>3.3135250264713402E-3</v>
      </c>
      <c r="R135" s="23">
        <f t="shared" si="26"/>
        <v>0.11961554700879126</v>
      </c>
      <c r="S135" s="22">
        <f t="shared" si="27"/>
        <v>0.20729217596451366</v>
      </c>
      <c r="T135" s="17">
        <f t="shared" si="28"/>
        <v>-1.1821404314552193</v>
      </c>
      <c r="U135" s="24">
        <f t="shared" si="29"/>
        <v>1.1821404314552193</v>
      </c>
      <c r="W135" s="37" t="s">
        <v>165</v>
      </c>
      <c r="X135" s="34">
        <v>14</v>
      </c>
      <c r="Y135" s="35">
        <v>1</v>
      </c>
      <c r="Z135" s="34">
        <v>32</v>
      </c>
      <c r="AA135" s="35" t="s">
        <v>163</v>
      </c>
      <c r="AB135">
        <v>5.2995640000000019</v>
      </c>
    </row>
    <row r="136" spans="1:28" s="17" customFormat="1" x14ac:dyDescent="0.2">
      <c r="A136" s="17" t="s">
        <v>136</v>
      </c>
      <c r="B136" s="18">
        <v>-7.8712237425575295E-5</v>
      </c>
      <c r="C136" s="18">
        <v>7.1182504363889395E-5</v>
      </c>
      <c r="D136" s="18">
        <f t="shared" si="22"/>
        <v>1.4989474178946468E-4</v>
      </c>
      <c r="E136" s="17">
        <v>5</v>
      </c>
      <c r="F136" s="17">
        <v>81.918999999999997</v>
      </c>
      <c r="G136" s="17">
        <v>0.77100000000000002</v>
      </c>
      <c r="H136" s="19">
        <f t="shared" si="23"/>
        <v>8.1918999999999992E-2</v>
      </c>
      <c r="I136">
        <v>23.090379999999985</v>
      </c>
      <c r="J136" s="20">
        <v>26</v>
      </c>
      <c r="K136" s="17">
        <v>40</v>
      </c>
      <c r="L136" s="21">
        <v>31.998000000000001</v>
      </c>
      <c r="M136" s="21">
        <v>1.2869999999999999</v>
      </c>
      <c r="N136" s="21">
        <f t="shared" si="20"/>
        <v>24.862470862470865</v>
      </c>
      <c r="O136" s="18">
        <f t="shared" si="24"/>
        <v>-3.1659056680641102E-3</v>
      </c>
      <c r="P136" s="22">
        <f t="shared" si="25"/>
        <v>-4.0434682110892864E-2</v>
      </c>
      <c r="Q136" s="21">
        <f t="shared" si="21"/>
        <v>2.8630502880281784E-3</v>
      </c>
      <c r="R136" s="23">
        <f t="shared" si="26"/>
        <v>3.6566638555187471E-2</v>
      </c>
      <c r="S136" s="22">
        <f t="shared" si="27"/>
        <v>7.7001320666080342E-2</v>
      </c>
      <c r="T136" s="17">
        <f t="shared" si="28"/>
        <v>-0.95216923500106665</v>
      </c>
      <c r="U136" s="24">
        <f t="shared" si="29"/>
        <v>0.95216923500106665</v>
      </c>
      <c r="W136" s="32" t="s">
        <v>165</v>
      </c>
      <c r="X136" s="34">
        <v>15</v>
      </c>
      <c r="Y136" s="35">
        <v>1</v>
      </c>
      <c r="Z136" s="34">
        <v>32</v>
      </c>
      <c r="AA136" s="35" t="s">
        <v>163</v>
      </c>
      <c r="AB136">
        <v>6.1039360000000027</v>
      </c>
    </row>
    <row r="137" spans="1:28" s="17" customFormat="1" x14ac:dyDescent="0.2">
      <c r="A137" s="17" t="s">
        <v>137</v>
      </c>
      <c r="B137" s="18">
        <v>-5.7051062214167201E-6</v>
      </c>
      <c r="C137" s="17">
        <v>1.0119654391534799E-4</v>
      </c>
      <c r="D137" s="18">
        <f t="shared" si="22"/>
        <v>1.0690165013676472E-4</v>
      </c>
      <c r="E137" s="17">
        <v>6</v>
      </c>
      <c r="F137" s="17">
        <v>82.186000000000007</v>
      </c>
      <c r="G137" s="17">
        <v>0.71034799999999998</v>
      </c>
      <c r="H137" s="19">
        <f t="shared" si="23"/>
        <v>8.2186000000000009E-2</v>
      </c>
      <c r="I137">
        <v>9.5580040000000057</v>
      </c>
      <c r="J137" s="20">
        <v>26</v>
      </c>
      <c r="K137" s="17">
        <v>40</v>
      </c>
      <c r="L137" s="21">
        <v>31.998000000000001</v>
      </c>
      <c r="M137" s="21">
        <v>1.2869999999999999</v>
      </c>
      <c r="N137" s="21">
        <f t="shared" si="20"/>
        <v>24.862470862470865</v>
      </c>
      <c r="O137" s="18">
        <f t="shared" si="24"/>
        <v>-2.2946658250401017E-4</v>
      </c>
      <c r="P137" s="22">
        <f t="shared" si="25"/>
        <v>-7.1031761420928948E-3</v>
      </c>
      <c r="Q137" s="21">
        <f t="shared" si="21"/>
        <v>4.0702528914011143E-3</v>
      </c>
      <c r="R137" s="23">
        <f t="shared" si="26"/>
        <v>0.12599535372423892</v>
      </c>
      <c r="S137" s="22">
        <f t="shared" si="27"/>
        <v>0.13309852986633181</v>
      </c>
      <c r="T137" s="17">
        <f t="shared" si="28"/>
        <v>-9.3689447652578828</v>
      </c>
      <c r="U137" s="24">
        <f t="shared" si="29"/>
        <v>9.3689447652578828</v>
      </c>
      <c r="W137" s="32" t="s">
        <v>165</v>
      </c>
      <c r="X137" s="34" t="s">
        <v>160</v>
      </c>
      <c r="Y137" s="35">
        <v>1</v>
      </c>
      <c r="Z137" s="34">
        <v>32</v>
      </c>
      <c r="AA137" s="35" t="s">
        <v>164</v>
      </c>
      <c r="AB137">
        <v>6.4351480000000034</v>
      </c>
    </row>
    <row r="138" spans="1:28" s="17" customFormat="1" x14ac:dyDescent="0.2">
      <c r="A138" s="17" t="s">
        <v>138</v>
      </c>
      <c r="B138" s="18">
        <v>-3.0692144648589097E-5</v>
      </c>
      <c r="C138" s="17">
        <v>1.11349711012529E-4</v>
      </c>
      <c r="D138" s="18">
        <f t="shared" si="22"/>
        <v>1.4204185566111811E-4</v>
      </c>
      <c r="E138" s="17">
        <v>7</v>
      </c>
      <c r="F138" s="17">
        <v>82.891000000000005</v>
      </c>
      <c r="G138" s="17">
        <v>1.1092120000000001</v>
      </c>
      <c r="H138" s="19">
        <f t="shared" si="23"/>
        <v>8.2891000000000006E-2</v>
      </c>
      <c r="I138">
        <v>11.450644000000009</v>
      </c>
      <c r="J138" s="20">
        <v>26</v>
      </c>
      <c r="K138" s="17">
        <v>40</v>
      </c>
      <c r="L138" s="21">
        <v>31.998000000000001</v>
      </c>
      <c r="M138" s="21">
        <v>1.2869999999999999</v>
      </c>
      <c r="N138" s="21">
        <f t="shared" si="20"/>
        <v>24.862470862470865</v>
      </c>
      <c r="O138" s="18">
        <f t="shared" si="24"/>
        <v>-1.2344768473884044E-3</v>
      </c>
      <c r="P138" s="22">
        <f t="shared" si="25"/>
        <v>-3.2170878186828601E-2</v>
      </c>
      <c r="Q138" s="21">
        <f t="shared" si="21"/>
        <v>4.4786261039166447E-3</v>
      </c>
      <c r="R138" s="23">
        <f t="shared" si="26"/>
        <v>0.11671448933065384</v>
      </c>
      <c r="S138" s="22">
        <f t="shared" si="27"/>
        <v>0.14888536751748244</v>
      </c>
      <c r="T138" s="17">
        <f t="shared" si="28"/>
        <v>-2.3139773594747419</v>
      </c>
      <c r="U138" s="24">
        <f t="shared" si="29"/>
        <v>2.3139773594747419</v>
      </c>
      <c r="W138" s="32" t="s">
        <v>165</v>
      </c>
      <c r="X138" s="34">
        <v>13</v>
      </c>
      <c r="Y138" s="35">
        <v>1</v>
      </c>
      <c r="Z138" s="34">
        <v>32</v>
      </c>
      <c r="AA138" s="35" t="s">
        <v>164</v>
      </c>
      <c r="AB138">
        <v>5.4888279999999972</v>
      </c>
    </row>
    <row r="139" spans="1:28" s="17" customFormat="1" x14ac:dyDescent="0.2">
      <c r="A139" s="17" t="s">
        <v>139</v>
      </c>
      <c r="B139" s="18">
        <v>-1.10482066672616E-5</v>
      </c>
      <c r="C139" s="18">
        <v>8.0400924586234806E-5</v>
      </c>
      <c r="D139" s="18">
        <f t="shared" si="22"/>
        <v>9.1449131253496405E-5</v>
      </c>
      <c r="E139" s="17">
        <v>8</v>
      </c>
      <c r="F139" s="17">
        <v>82.2</v>
      </c>
      <c r="G139" s="17">
        <v>1.17706</v>
      </c>
      <c r="H139" s="19">
        <f t="shared" si="23"/>
        <v>8.2200000000000009E-2</v>
      </c>
      <c r="I139">
        <v>11.024799999999992</v>
      </c>
      <c r="J139" s="20">
        <v>26</v>
      </c>
      <c r="K139" s="17">
        <v>40</v>
      </c>
      <c r="L139" s="21">
        <v>31.998000000000001</v>
      </c>
      <c r="M139" s="21">
        <v>1.2869999999999999</v>
      </c>
      <c r="N139" s="21">
        <f t="shared" si="20"/>
        <v>24.862470862470865</v>
      </c>
      <c r="O139" s="18">
        <f t="shared" si="24"/>
        <v>-4.443728352011275E-4</v>
      </c>
      <c r="P139" s="22">
        <f t="shared" si="25"/>
        <v>-1.1927546022850097E-2</v>
      </c>
      <c r="Q139" s="21">
        <f t="shared" si="21"/>
        <v>3.2338267998776233E-3</v>
      </c>
      <c r="R139" s="23">
        <f t="shared" si="26"/>
        <v>8.6800125772783829E-2</v>
      </c>
      <c r="S139" s="22">
        <f t="shared" si="27"/>
        <v>9.8727671795633923E-2</v>
      </c>
      <c r="T139" s="17">
        <f t="shared" si="28"/>
        <v>-4.1386414106680958</v>
      </c>
      <c r="U139" s="24">
        <f t="shared" si="29"/>
        <v>4.1386414106680958</v>
      </c>
      <c r="W139" s="32" t="s">
        <v>165</v>
      </c>
      <c r="X139" s="34">
        <v>14</v>
      </c>
      <c r="Y139" s="35">
        <v>1</v>
      </c>
      <c r="Z139" s="34">
        <v>32</v>
      </c>
      <c r="AA139" s="35" t="s">
        <v>164</v>
      </c>
      <c r="AB139">
        <v>5.7254080000000034</v>
      </c>
    </row>
    <row r="140" spans="1:28" x14ac:dyDescent="0.2">
      <c r="W140" s="32" t="s">
        <v>165</v>
      </c>
      <c r="X140" s="34">
        <v>15</v>
      </c>
      <c r="Y140" s="35">
        <v>1</v>
      </c>
      <c r="Z140" s="34">
        <v>32</v>
      </c>
      <c r="AA140" s="35" t="s">
        <v>164</v>
      </c>
      <c r="AB140">
        <v>4.7790879999999998</v>
      </c>
    </row>
    <row r="141" spans="1:28" x14ac:dyDescent="0.2">
      <c r="W141" s="37" t="s">
        <v>165</v>
      </c>
      <c r="X141" s="34" t="s">
        <v>160</v>
      </c>
      <c r="Y141" s="35">
        <v>1</v>
      </c>
      <c r="Z141" s="34">
        <v>34.5</v>
      </c>
      <c r="AA141" s="35" t="s">
        <v>163</v>
      </c>
      <c r="AB141">
        <v>8.2804719999999996</v>
      </c>
    </row>
    <row r="142" spans="1:28" x14ac:dyDescent="0.2">
      <c r="A142" t="s">
        <v>17</v>
      </c>
      <c r="B142" s="1">
        <v>7.8333042938284395E-5</v>
      </c>
      <c r="C142" s="1">
        <v>-5.6909743106819297E-6</v>
      </c>
      <c r="W142" s="32" t="s">
        <v>165</v>
      </c>
      <c r="X142" s="34">
        <v>13</v>
      </c>
      <c r="Y142" s="35">
        <v>1</v>
      </c>
      <c r="Z142" s="34">
        <v>34.5</v>
      </c>
      <c r="AA142" s="35" t="s">
        <v>163</v>
      </c>
      <c r="AB142">
        <v>10.504323999999986</v>
      </c>
    </row>
    <row r="143" spans="1:28" x14ac:dyDescent="0.2">
      <c r="A143" t="s">
        <v>18</v>
      </c>
      <c r="B143" s="1">
        <v>5.12859572532507E-5</v>
      </c>
      <c r="C143" s="1">
        <v>-1.1243337087405599E-6</v>
      </c>
      <c r="W143" s="32" t="s">
        <v>165</v>
      </c>
      <c r="X143" s="34">
        <v>14</v>
      </c>
      <c r="Y143" s="35">
        <v>1</v>
      </c>
      <c r="Z143" s="34">
        <v>34.5</v>
      </c>
      <c r="AA143" s="35" t="s">
        <v>163</v>
      </c>
      <c r="AB143">
        <v>5.0156680000000016</v>
      </c>
    </row>
    <row r="144" spans="1:28" x14ac:dyDescent="0.2">
      <c r="A144" t="s">
        <v>19</v>
      </c>
      <c r="B144" s="1">
        <v>7.5029770775769805E-5</v>
      </c>
      <c r="C144" s="1">
        <v>5.4323654511043197E-6</v>
      </c>
      <c r="W144" s="32" t="s">
        <v>165</v>
      </c>
      <c r="X144" s="34">
        <v>15</v>
      </c>
      <c r="Y144" s="35">
        <v>1</v>
      </c>
      <c r="Z144" s="34">
        <v>34.5</v>
      </c>
      <c r="AA144" s="35" t="s">
        <v>163</v>
      </c>
      <c r="AB144">
        <v>4.5425080000000015</v>
      </c>
    </row>
    <row r="145" spans="1:28" x14ac:dyDescent="0.2">
      <c r="A145" t="s">
        <v>9</v>
      </c>
      <c r="B145" s="1">
        <v>6.4442373265332904E-6</v>
      </c>
      <c r="C145" s="1">
        <v>5.6552999025412597E-5</v>
      </c>
      <c r="W145" s="32" t="s">
        <v>165</v>
      </c>
      <c r="X145" s="34" t="s">
        <v>160</v>
      </c>
      <c r="Y145" s="35">
        <v>1</v>
      </c>
      <c r="Z145" s="34">
        <v>34.5</v>
      </c>
      <c r="AA145" s="35" t="s">
        <v>164</v>
      </c>
      <c r="AB145">
        <v>8.1385240000000056</v>
      </c>
    </row>
    <row r="146" spans="1:28" x14ac:dyDescent="0.2">
      <c r="A146" t="s">
        <v>10</v>
      </c>
      <c r="B146" s="1">
        <v>-2.0417094108512498E-6</v>
      </c>
      <c r="C146" s="1">
        <v>-1.4750619963076199E-5</v>
      </c>
      <c r="W146" s="32" t="s">
        <v>165</v>
      </c>
      <c r="X146" s="34">
        <v>13</v>
      </c>
      <c r="Y146" s="35">
        <v>1</v>
      </c>
      <c r="Z146" s="34">
        <v>34.5</v>
      </c>
      <c r="AA146" s="35" t="s">
        <v>164</v>
      </c>
      <c r="AB146">
        <v>9.2267920000000014</v>
      </c>
    </row>
    <row r="147" spans="1:28" x14ac:dyDescent="0.2">
      <c r="A147" t="s">
        <v>11</v>
      </c>
      <c r="B147" s="1">
        <v>-1.35991854156943E-5</v>
      </c>
      <c r="C147" s="1">
        <v>2.0389543131334999E-5</v>
      </c>
      <c r="W147" s="37" t="s">
        <v>165</v>
      </c>
      <c r="X147" s="34">
        <v>14</v>
      </c>
      <c r="Y147" s="35">
        <v>1</v>
      </c>
      <c r="Z147" s="34">
        <v>34.5</v>
      </c>
      <c r="AA147" s="35" t="s">
        <v>164</v>
      </c>
      <c r="AB147">
        <v>13.15402000000001</v>
      </c>
    </row>
    <row r="148" spans="1:28" x14ac:dyDescent="0.2">
      <c r="A148" s="3" t="s">
        <v>143</v>
      </c>
      <c r="B148" s="4">
        <f>AVERAGE(B142:B144)</f>
        <v>6.8216256989101629E-5</v>
      </c>
      <c r="C148" s="4">
        <f t="shared" ref="C148" si="30">AVERAGE(C142:C144)</f>
        <v>-4.6098085610605675E-7</v>
      </c>
      <c r="W148" s="37" t="s">
        <v>165</v>
      </c>
      <c r="X148" s="34">
        <v>15</v>
      </c>
      <c r="Y148" s="35">
        <v>1</v>
      </c>
      <c r="Z148" s="34">
        <v>34.5</v>
      </c>
      <c r="AA148" s="35" t="s">
        <v>164</v>
      </c>
      <c r="AB148">
        <v>16.276876000000023</v>
      </c>
    </row>
    <row r="149" spans="1:28" x14ac:dyDescent="0.2">
      <c r="A149" s="3" t="s">
        <v>144</v>
      </c>
      <c r="B149" s="4">
        <f>AVERAGE(B145:B147)</f>
        <v>-3.0655525000040861E-6</v>
      </c>
      <c r="C149" s="4">
        <f t="shared" ref="C149" si="31">AVERAGE(C145:C147)</f>
        <v>2.0730640731223801E-5</v>
      </c>
      <c r="W149" s="32" t="s">
        <v>165</v>
      </c>
      <c r="X149" s="34" t="s">
        <v>160</v>
      </c>
      <c r="Y149" s="35">
        <v>2</v>
      </c>
      <c r="Z149" s="34">
        <v>27</v>
      </c>
      <c r="AA149" s="35" t="s">
        <v>163</v>
      </c>
      <c r="AB149">
        <v>20.062155999999984</v>
      </c>
    </row>
    <row r="150" spans="1:28" x14ac:dyDescent="0.2">
      <c r="W150" s="32" t="s">
        <v>165</v>
      </c>
      <c r="X150" s="34">
        <v>13</v>
      </c>
      <c r="Y150" s="35">
        <v>2</v>
      </c>
      <c r="Z150" s="34">
        <v>27</v>
      </c>
      <c r="AA150" s="35" t="s">
        <v>163</v>
      </c>
      <c r="AB150">
        <v>13.627180000000001</v>
      </c>
    </row>
    <row r="151" spans="1:28" x14ac:dyDescent="0.2">
      <c r="W151" s="32" t="s">
        <v>165</v>
      </c>
      <c r="X151" s="34">
        <v>14</v>
      </c>
      <c r="Y151" s="35">
        <v>2</v>
      </c>
      <c r="Z151" s="34">
        <v>27</v>
      </c>
      <c r="AA151" s="35" t="s">
        <v>163</v>
      </c>
      <c r="AB151">
        <v>13.485231999999995</v>
      </c>
    </row>
    <row r="152" spans="1:28" x14ac:dyDescent="0.2">
      <c r="W152" s="32" t="s">
        <v>165</v>
      </c>
      <c r="X152" s="34">
        <v>15</v>
      </c>
      <c r="Y152" s="35">
        <v>2</v>
      </c>
      <c r="Z152" s="34">
        <v>27</v>
      </c>
      <c r="AA152" s="35" t="s">
        <v>163</v>
      </c>
      <c r="AB152">
        <v>7.9492600000000042</v>
      </c>
    </row>
    <row r="153" spans="1:28" x14ac:dyDescent="0.2">
      <c r="W153" s="37" t="s">
        <v>165</v>
      </c>
      <c r="X153" s="34" t="s">
        <v>160</v>
      </c>
      <c r="Y153" s="35">
        <v>2</v>
      </c>
      <c r="Z153" s="34">
        <v>27</v>
      </c>
      <c r="AA153" s="35" t="s">
        <v>164</v>
      </c>
      <c r="AB153">
        <v>19.115836000000005</v>
      </c>
    </row>
    <row r="154" spans="1:28" x14ac:dyDescent="0.2">
      <c r="W154" s="37" t="s">
        <v>165</v>
      </c>
      <c r="X154" s="34">
        <v>13</v>
      </c>
      <c r="Y154" s="35">
        <v>2</v>
      </c>
      <c r="Z154" s="34">
        <v>27</v>
      </c>
      <c r="AA154" s="35" t="s">
        <v>164</v>
      </c>
      <c r="AB154">
        <v>6.5297799999999988</v>
      </c>
    </row>
    <row r="155" spans="1:28" x14ac:dyDescent="0.2">
      <c r="W155" s="32" t="s">
        <v>165</v>
      </c>
      <c r="X155" s="34">
        <v>14</v>
      </c>
      <c r="Y155" s="35">
        <v>2</v>
      </c>
      <c r="Z155" s="34">
        <v>27</v>
      </c>
      <c r="AA155" s="35" t="s">
        <v>164</v>
      </c>
      <c r="AB155">
        <v>9.7945840000000022</v>
      </c>
    </row>
    <row r="156" spans="1:28" x14ac:dyDescent="0.2">
      <c r="W156" s="32" t="s">
        <v>165</v>
      </c>
      <c r="X156" s="34">
        <v>15</v>
      </c>
      <c r="Y156" s="35">
        <v>2</v>
      </c>
      <c r="Z156" s="34">
        <v>27</v>
      </c>
      <c r="AA156" s="35" t="s">
        <v>164</v>
      </c>
      <c r="AB156">
        <v>7.5707319999999942</v>
      </c>
    </row>
    <row r="157" spans="1:28" x14ac:dyDescent="0.2">
      <c r="W157" s="32" t="s">
        <v>165</v>
      </c>
      <c r="X157" s="34" t="s">
        <v>160</v>
      </c>
      <c r="Y157" s="35">
        <v>2</v>
      </c>
      <c r="Z157" s="34">
        <v>29.5</v>
      </c>
      <c r="AA157" s="35" t="s">
        <v>163</v>
      </c>
      <c r="AB157">
        <v>13.059388</v>
      </c>
    </row>
    <row r="158" spans="1:28" x14ac:dyDescent="0.2">
      <c r="W158" s="32" t="s">
        <v>165</v>
      </c>
      <c r="X158" s="34">
        <v>13</v>
      </c>
      <c r="Y158" s="35">
        <v>2</v>
      </c>
      <c r="Z158" s="34">
        <v>29.5</v>
      </c>
      <c r="AA158" s="35" t="s">
        <v>163</v>
      </c>
      <c r="AB158">
        <v>9.9365319999999961</v>
      </c>
    </row>
    <row r="159" spans="1:28" x14ac:dyDescent="0.2">
      <c r="W159" s="32" t="s">
        <v>165</v>
      </c>
      <c r="X159" s="34">
        <v>14</v>
      </c>
      <c r="Y159" s="35">
        <v>2</v>
      </c>
      <c r="Z159" s="34">
        <v>29.5</v>
      </c>
      <c r="AA159" s="35" t="s">
        <v>163</v>
      </c>
      <c r="AB159">
        <v>10.882851999999987</v>
      </c>
    </row>
    <row r="160" spans="1:28" x14ac:dyDescent="0.2">
      <c r="W160" s="37" t="s">
        <v>165</v>
      </c>
      <c r="X160" s="34">
        <v>15</v>
      </c>
      <c r="Y160" s="35">
        <v>2</v>
      </c>
      <c r="Z160" s="34">
        <v>29.5</v>
      </c>
      <c r="AA160" s="35" t="s">
        <v>163</v>
      </c>
      <c r="AB160">
        <v>4.3532440000000019</v>
      </c>
    </row>
    <row r="161" spans="23:28" x14ac:dyDescent="0.2">
      <c r="W161" s="32" t="s">
        <v>165</v>
      </c>
      <c r="X161" s="34" t="s">
        <v>160</v>
      </c>
      <c r="Y161" s="35">
        <v>2</v>
      </c>
      <c r="Z161" s="34">
        <v>29.5</v>
      </c>
      <c r="AA161" s="35" t="s">
        <v>164</v>
      </c>
      <c r="AB161">
        <v>9.3687399999999954</v>
      </c>
    </row>
    <row r="162" spans="23:28" x14ac:dyDescent="0.2">
      <c r="W162" s="32" t="s">
        <v>165</v>
      </c>
      <c r="X162" s="34">
        <v>13</v>
      </c>
      <c r="Y162" s="35">
        <v>2</v>
      </c>
      <c r="Z162" s="34">
        <v>29.5</v>
      </c>
      <c r="AA162" s="35" t="s">
        <v>164</v>
      </c>
      <c r="AB162">
        <v>13.579864000000006</v>
      </c>
    </row>
    <row r="163" spans="23:28" x14ac:dyDescent="0.2">
      <c r="W163" s="32" t="s">
        <v>165</v>
      </c>
      <c r="X163" s="34">
        <v>14</v>
      </c>
      <c r="Y163" s="35">
        <v>2</v>
      </c>
      <c r="Z163" s="34">
        <v>29.5</v>
      </c>
      <c r="AA163" s="35" t="s">
        <v>164</v>
      </c>
      <c r="AB163">
        <v>11.497960000000003</v>
      </c>
    </row>
    <row r="164" spans="23:28" x14ac:dyDescent="0.2">
      <c r="W164" s="32" t="s">
        <v>165</v>
      </c>
      <c r="X164" s="34">
        <v>15</v>
      </c>
      <c r="Y164" s="35">
        <v>2</v>
      </c>
      <c r="Z164" s="34">
        <v>29.5</v>
      </c>
      <c r="AA164" s="35" t="s">
        <v>164</v>
      </c>
      <c r="AB164">
        <v>8.3277880000000053</v>
      </c>
    </row>
    <row r="165" spans="23:28" x14ac:dyDescent="0.2">
      <c r="W165" s="32" t="s">
        <v>165</v>
      </c>
      <c r="X165" s="34" t="s">
        <v>160</v>
      </c>
      <c r="Y165" s="35">
        <v>2</v>
      </c>
      <c r="Z165" s="34">
        <v>32</v>
      </c>
      <c r="AA165" s="35" t="s">
        <v>163</v>
      </c>
      <c r="AB165">
        <v>4.4478759999999991</v>
      </c>
    </row>
    <row r="166" spans="23:28" x14ac:dyDescent="0.2">
      <c r="W166" s="37" t="s">
        <v>165</v>
      </c>
      <c r="X166" s="34">
        <v>13</v>
      </c>
      <c r="Y166" s="35">
        <v>2</v>
      </c>
      <c r="Z166" s="34">
        <v>32</v>
      </c>
      <c r="AA166" s="35" t="s">
        <v>163</v>
      </c>
      <c r="AB166">
        <v>8.7063160000000064</v>
      </c>
    </row>
    <row r="167" spans="23:28" x14ac:dyDescent="0.2">
      <c r="W167" s="37" t="s">
        <v>165</v>
      </c>
      <c r="X167" s="34">
        <v>14</v>
      </c>
      <c r="Y167" s="35">
        <v>2</v>
      </c>
      <c r="Z167" s="34">
        <v>32</v>
      </c>
      <c r="AA167" s="35" t="s">
        <v>163</v>
      </c>
      <c r="AB167">
        <v>4.8737200000000023</v>
      </c>
    </row>
    <row r="168" spans="23:28" x14ac:dyDescent="0.2">
      <c r="W168" s="32" t="s">
        <v>165</v>
      </c>
      <c r="X168" s="34">
        <v>15</v>
      </c>
      <c r="Y168" s="35">
        <v>2</v>
      </c>
      <c r="Z168" s="34">
        <v>32</v>
      </c>
      <c r="AA168" s="35" t="s">
        <v>163</v>
      </c>
      <c r="AB168">
        <v>10.173112000000001</v>
      </c>
    </row>
    <row r="169" spans="23:28" x14ac:dyDescent="0.2">
      <c r="W169" s="32" t="s">
        <v>165</v>
      </c>
      <c r="X169" s="34" t="s">
        <v>160</v>
      </c>
      <c r="Y169" s="35">
        <v>2</v>
      </c>
      <c r="Z169" s="34">
        <v>32</v>
      </c>
      <c r="AA169" s="35" t="s">
        <v>164</v>
      </c>
      <c r="AB169">
        <v>7.8073120000000102</v>
      </c>
    </row>
    <row r="170" spans="23:28" x14ac:dyDescent="0.2">
      <c r="W170" s="32" t="s">
        <v>165</v>
      </c>
      <c r="X170" s="34">
        <v>13</v>
      </c>
      <c r="Y170" s="35">
        <v>2</v>
      </c>
      <c r="Z170" s="34">
        <v>32</v>
      </c>
      <c r="AA170" s="35" t="s">
        <v>164</v>
      </c>
      <c r="AB170">
        <v>7.0975720000000049</v>
      </c>
    </row>
    <row r="171" spans="23:28" x14ac:dyDescent="0.2">
      <c r="W171" s="32" t="s">
        <v>165</v>
      </c>
      <c r="X171" s="34">
        <v>14</v>
      </c>
      <c r="Y171" s="35">
        <v>2</v>
      </c>
      <c r="Z171" s="34">
        <v>32</v>
      </c>
      <c r="AA171" s="35" t="s">
        <v>164</v>
      </c>
      <c r="AB171">
        <v>6.3878319999999977</v>
      </c>
    </row>
    <row r="172" spans="23:28" x14ac:dyDescent="0.2">
      <c r="W172" s="32" t="s">
        <v>165</v>
      </c>
      <c r="X172" s="34">
        <v>15</v>
      </c>
      <c r="Y172" s="35">
        <v>2</v>
      </c>
      <c r="Z172" s="34">
        <v>32</v>
      </c>
      <c r="AA172" s="35" t="s">
        <v>164</v>
      </c>
      <c r="AB172">
        <v>7.7126799999999989</v>
      </c>
    </row>
    <row r="173" spans="23:28" x14ac:dyDescent="0.2">
      <c r="W173" s="37" t="s">
        <v>165</v>
      </c>
      <c r="X173" s="34" t="s">
        <v>160</v>
      </c>
      <c r="Y173" s="35">
        <v>2</v>
      </c>
      <c r="Z173" s="34">
        <v>34.5</v>
      </c>
      <c r="AA173" s="35" t="s">
        <v>163</v>
      </c>
      <c r="AB173">
        <v>6.7663599999999988</v>
      </c>
    </row>
    <row r="174" spans="23:28" x14ac:dyDescent="0.2">
      <c r="W174" s="32" t="s">
        <v>165</v>
      </c>
      <c r="X174" s="34">
        <v>13</v>
      </c>
      <c r="Y174" s="35">
        <v>2</v>
      </c>
      <c r="Z174" s="34">
        <v>34.5</v>
      </c>
      <c r="AA174" s="35" t="s">
        <v>163</v>
      </c>
      <c r="AB174">
        <v>10.125796000000006</v>
      </c>
    </row>
    <row r="175" spans="23:28" x14ac:dyDescent="0.2">
      <c r="W175" s="32" t="s">
        <v>165</v>
      </c>
      <c r="X175" s="34">
        <v>14</v>
      </c>
      <c r="Y175" s="35">
        <v>2</v>
      </c>
      <c r="Z175" s="34">
        <v>34.5</v>
      </c>
      <c r="AA175" s="35" t="s">
        <v>163</v>
      </c>
      <c r="AB175">
        <v>6.3405159999999983</v>
      </c>
    </row>
    <row r="176" spans="23:28" x14ac:dyDescent="0.2">
      <c r="W176" s="32" t="s">
        <v>165</v>
      </c>
      <c r="X176" s="34">
        <v>15</v>
      </c>
      <c r="Y176" s="35">
        <v>2</v>
      </c>
      <c r="Z176" s="34">
        <v>34.5</v>
      </c>
      <c r="AA176" s="35" t="s">
        <v>163</v>
      </c>
      <c r="AB176">
        <v>7.0975719999999995</v>
      </c>
    </row>
    <row r="177" spans="23:28" x14ac:dyDescent="0.2">
      <c r="W177" s="32" t="s">
        <v>165</v>
      </c>
      <c r="X177" s="34" t="s">
        <v>160</v>
      </c>
      <c r="Y177" s="35">
        <v>2</v>
      </c>
      <c r="Z177" s="34">
        <v>34.5</v>
      </c>
      <c r="AA177" s="35" t="s">
        <v>164</v>
      </c>
      <c r="AB177">
        <v>10.457007999999991</v>
      </c>
    </row>
    <row r="178" spans="23:28" x14ac:dyDescent="0.2">
      <c r="W178" s="32" t="s">
        <v>165</v>
      </c>
      <c r="X178" s="34">
        <v>13</v>
      </c>
      <c r="Y178" s="35">
        <v>2</v>
      </c>
      <c r="Z178" s="34">
        <v>34.5</v>
      </c>
      <c r="AA178" s="35" t="s">
        <v>164</v>
      </c>
      <c r="AB178">
        <v>7.0975719999999942</v>
      </c>
    </row>
    <row r="179" spans="23:28" x14ac:dyDescent="0.2">
      <c r="W179" s="37" t="s">
        <v>165</v>
      </c>
      <c r="X179" s="34">
        <v>14</v>
      </c>
      <c r="Y179" s="35">
        <v>2</v>
      </c>
      <c r="Z179" s="34">
        <v>34.5</v>
      </c>
      <c r="AA179" s="35" t="s">
        <v>164</v>
      </c>
      <c r="AB179">
        <v>16.655403999999979</v>
      </c>
    </row>
    <row r="180" spans="23:28" x14ac:dyDescent="0.2">
      <c r="W180" s="37" t="s">
        <v>165</v>
      </c>
      <c r="X180" s="34">
        <v>15</v>
      </c>
      <c r="Y180" s="35">
        <v>2</v>
      </c>
      <c r="Z180" s="34">
        <v>34.5</v>
      </c>
      <c r="AA180" s="35" t="s">
        <v>164</v>
      </c>
      <c r="AB180">
        <v>9.8892160000000011</v>
      </c>
    </row>
  </sheetData>
  <mergeCells count="1">
    <mergeCell ref="T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C2A2-D936-6044-80CB-B4BE955666E4}">
  <dimension ref="A1:F180"/>
  <sheetViews>
    <sheetView topLeftCell="A161" workbookViewId="0">
      <selection activeCell="F180" sqref="A1:F180"/>
    </sheetView>
  </sheetViews>
  <sheetFormatPr baseColWidth="10" defaultRowHeight="16" x14ac:dyDescent="0.2"/>
  <sheetData>
    <row r="1" spans="1:6" x14ac:dyDescent="0.2">
      <c r="A1" s="32" t="s">
        <v>159</v>
      </c>
      <c r="B1" s="33" t="s">
        <v>160</v>
      </c>
      <c r="C1" s="34" t="s">
        <v>161</v>
      </c>
      <c r="D1" s="35"/>
      <c r="E1" s="34"/>
      <c r="F1">
        <v>15.472504000000008</v>
      </c>
    </row>
    <row r="2" spans="1:6" x14ac:dyDescent="0.2">
      <c r="A2" s="32" t="s">
        <v>159</v>
      </c>
      <c r="B2" s="35">
        <v>13</v>
      </c>
      <c r="C2" s="34" t="s">
        <v>161</v>
      </c>
      <c r="D2" s="35"/>
      <c r="E2" s="34"/>
      <c r="F2">
        <v>10.409692000000007</v>
      </c>
    </row>
    <row r="3" spans="1:6" x14ac:dyDescent="0.2">
      <c r="A3" s="32" t="s">
        <v>159</v>
      </c>
      <c r="B3" s="35">
        <v>14</v>
      </c>
      <c r="C3" s="34" t="s">
        <v>161</v>
      </c>
      <c r="D3" s="35"/>
      <c r="E3" s="34"/>
      <c r="F3">
        <v>13.911075999999991</v>
      </c>
    </row>
    <row r="4" spans="1:6" x14ac:dyDescent="0.2">
      <c r="A4" s="32" t="s">
        <v>159</v>
      </c>
      <c r="B4" s="35">
        <v>15</v>
      </c>
      <c r="C4" s="34" t="s">
        <v>161</v>
      </c>
      <c r="D4" s="35"/>
      <c r="E4" s="34"/>
      <c r="F4">
        <v>18.264148000000013</v>
      </c>
    </row>
    <row r="5" spans="1:6" x14ac:dyDescent="0.2">
      <c r="A5" s="32" t="s">
        <v>159</v>
      </c>
      <c r="B5" s="33" t="s">
        <v>160</v>
      </c>
      <c r="C5" s="34">
        <v>0</v>
      </c>
      <c r="D5" s="35"/>
      <c r="E5" s="34"/>
      <c r="F5">
        <v>22.19137599999998</v>
      </c>
    </row>
    <row r="6" spans="1:6" x14ac:dyDescent="0.2">
      <c r="A6" s="32" t="s">
        <v>159</v>
      </c>
      <c r="B6" s="35">
        <v>13</v>
      </c>
      <c r="C6" s="34">
        <v>0</v>
      </c>
      <c r="D6" s="35"/>
      <c r="E6" s="34"/>
      <c r="F6">
        <v>11.356011999999998</v>
      </c>
    </row>
    <row r="7" spans="1:6" x14ac:dyDescent="0.2">
      <c r="A7" s="32" t="s">
        <v>159</v>
      </c>
      <c r="B7" s="35">
        <v>14</v>
      </c>
      <c r="C7" s="34">
        <v>0</v>
      </c>
      <c r="D7" s="35"/>
      <c r="E7" s="34"/>
      <c r="F7">
        <v>29.714620000000014</v>
      </c>
    </row>
    <row r="8" spans="1:6" x14ac:dyDescent="0.2">
      <c r="A8" s="32" t="s">
        <v>159</v>
      </c>
      <c r="B8" s="35">
        <v>15</v>
      </c>
      <c r="C8" s="34">
        <v>0</v>
      </c>
      <c r="D8" s="35"/>
      <c r="E8" s="34"/>
      <c r="F8">
        <v>13.437916</v>
      </c>
    </row>
    <row r="9" spans="1:6" x14ac:dyDescent="0.2">
      <c r="A9" s="32" t="s">
        <v>159</v>
      </c>
      <c r="B9" s="33" t="s">
        <v>160</v>
      </c>
      <c r="C9" s="34" t="s">
        <v>162</v>
      </c>
      <c r="D9" s="35"/>
      <c r="E9" s="34"/>
      <c r="F9">
        <v>29.430724000000001</v>
      </c>
    </row>
    <row r="10" spans="1:6" x14ac:dyDescent="0.2">
      <c r="A10" s="32" t="s">
        <v>159</v>
      </c>
      <c r="B10" s="35">
        <v>13</v>
      </c>
      <c r="C10" s="34" t="s">
        <v>162</v>
      </c>
      <c r="D10" s="35"/>
      <c r="E10" s="34"/>
      <c r="F10">
        <v>17.696355999999991</v>
      </c>
    </row>
    <row r="11" spans="1:6" x14ac:dyDescent="0.2">
      <c r="A11" s="32" t="s">
        <v>159</v>
      </c>
      <c r="B11" s="35">
        <v>14</v>
      </c>
      <c r="C11" s="34" t="s">
        <v>162</v>
      </c>
      <c r="D11" s="35"/>
      <c r="E11" s="34"/>
      <c r="F11">
        <v>26.21323600000002</v>
      </c>
    </row>
    <row r="12" spans="1:6" x14ac:dyDescent="0.2">
      <c r="A12" s="32" t="s">
        <v>159</v>
      </c>
      <c r="B12" s="35">
        <v>15</v>
      </c>
      <c r="C12" s="34" t="s">
        <v>162</v>
      </c>
      <c r="D12" s="35"/>
      <c r="E12" s="34"/>
      <c r="F12">
        <v>10.835536000000003</v>
      </c>
    </row>
    <row r="13" spans="1:6" x14ac:dyDescent="0.2">
      <c r="A13" s="32" t="s">
        <v>159</v>
      </c>
      <c r="B13" s="33" t="s">
        <v>160</v>
      </c>
      <c r="C13" s="34">
        <v>1</v>
      </c>
      <c r="D13" s="36">
        <v>27</v>
      </c>
      <c r="E13" s="34" t="s">
        <v>163</v>
      </c>
      <c r="F13">
        <v>17.696355999999991</v>
      </c>
    </row>
    <row r="14" spans="1:6" x14ac:dyDescent="0.2">
      <c r="A14" s="32" t="s">
        <v>159</v>
      </c>
      <c r="B14" s="35">
        <v>13</v>
      </c>
      <c r="C14" s="34">
        <v>1</v>
      </c>
      <c r="D14" s="36">
        <v>27</v>
      </c>
      <c r="E14" s="34" t="s">
        <v>163</v>
      </c>
      <c r="F14">
        <v>15.803715999999993</v>
      </c>
    </row>
    <row r="15" spans="1:6" x14ac:dyDescent="0.2">
      <c r="A15" s="32" t="s">
        <v>159</v>
      </c>
      <c r="B15" s="35">
        <v>14</v>
      </c>
      <c r="C15" s="34">
        <v>1</v>
      </c>
      <c r="D15" s="36">
        <v>27</v>
      </c>
      <c r="E15" s="34" t="s">
        <v>163</v>
      </c>
      <c r="F15">
        <v>28.342456000000016</v>
      </c>
    </row>
    <row r="16" spans="1:6" x14ac:dyDescent="0.2">
      <c r="A16" s="32" t="s">
        <v>159</v>
      </c>
      <c r="B16" s="35">
        <v>15</v>
      </c>
      <c r="C16" s="34">
        <v>1</v>
      </c>
      <c r="D16" s="36">
        <v>27</v>
      </c>
      <c r="E16" s="34" t="s">
        <v>163</v>
      </c>
      <c r="F16">
        <v>15.472504000000008</v>
      </c>
    </row>
    <row r="17" spans="1:6" x14ac:dyDescent="0.2">
      <c r="A17" s="32" t="s">
        <v>159</v>
      </c>
      <c r="B17" s="33" t="s">
        <v>160</v>
      </c>
      <c r="C17" s="34">
        <v>1</v>
      </c>
      <c r="D17" s="36">
        <v>27</v>
      </c>
      <c r="E17" s="34" t="s">
        <v>164</v>
      </c>
      <c r="F17">
        <v>37.569075999999995</v>
      </c>
    </row>
    <row r="18" spans="1:6" x14ac:dyDescent="0.2">
      <c r="A18" s="32" t="s">
        <v>159</v>
      </c>
      <c r="B18" s="35">
        <v>13</v>
      </c>
      <c r="C18" s="34">
        <v>1</v>
      </c>
      <c r="D18" s="36">
        <v>27</v>
      </c>
      <c r="E18" s="34" t="s">
        <v>164</v>
      </c>
      <c r="F18">
        <v>8.1858400000000007</v>
      </c>
    </row>
    <row r="19" spans="1:6" x14ac:dyDescent="0.2">
      <c r="A19" s="32" t="s">
        <v>159</v>
      </c>
      <c r="B19" s="35">
        <v>14</v>
      </c>
      <c r="C19" s="34">
        <v>1</v>
      </c>
      <c r="D19" s="36">
        <v>27</v>
      </c>
      <c r="E19" s="34" t="s">
        <v>164</v>
      </c>
      <c r="F19">
        <v>19.872892000000004</v>
      </c>
    </row>
    <row r="20" spans="1:6" x14ac:dyDescent="0.2">
      <c r="A20" s="32" t="s">
        <v>159</v>
      </c>
      <c r="B20" s="35">
        <v>15</v>
      </c>
      <c r="C20" s="34">
        <v>1</v>
      </c>
      <c r="D20" s="36">
        <v>27</v>
      </c>
      <c r="E20" s="34" t="s">
        <v>164</v>
      </c>
      <c r="F20">
        <v>14.668131999999991</v>
      </c>
    </row>
    <row r="21" spans="1:6" x14ac:dyDescent="0.2">
      <c r="A21" s="32" t="s">
        <v>159</v>
      </c>
      <c r="B21" s="33" t="s">
        <v>160</v>
      </c>
      <c r="C21" s="34">
        <v>1</v>
      </c>
      <c r="D21" s="36">
        <v>29.5</v>
      </c>
      <c r="E21" s="34" t="s">
        <v>163</v>
      </c>
      <c r="F21">
        <v>19.494364000000004</v>
      </c>
    </row>
    <row r="22" spans="1:6" x14ac:dyDescent="0.2">
      <c r="A22" s="32" t="s">
        <v>159</v>
      </c>
      <c r="B22" s="35">
        <v>13</v>
      </c>
      <c r="C22" s="34">
        <v>1</v>
      </c>
      <c r="D22" s="36">
        <v>29.5</v>
      </c>
      <c r="E22" s="34" t="s">
        <v>163</v>
      </c>
      <c r="F22">
        <v>10.835536000000014</v>
      </c>
    </row>
    <row r="23" spans="1:6" x14ac:dyDescent="0.2">
      <c r="A23" s="32" t="s">
        <v>159</v>
      </c>
      <c r="B23" s="35">
        <v>14</v>
      </c>
      <c r="C23" s="34">
        <v>1</v>
      </c>
      <c r="D23" s="36">
        <v>29.5</v>
      </c>
      <c r="E23" s="34" t="s">
        <v>163</v>
      </c>
      <c r="F23">
        <v>12.255016000000005</v>
      </c>
    </row>
    <row r="24" spans="1:6" x14ac:dyDescent="0.2">
      <c r="A24" s="32" t="s">
        <v>159</v>
      </c>
      <c r="B24" s="35">
        <v>15</v>
      </c>
      <c r="C24" s="34">
        <v>1</v>
      </c>
      <c r="D24" s="36">
        <v>29.5</v>
      </c>
      <c r="E24" s="34" t="s">
        <v>163</v>
      </c>
      <c r="F24">
        <v>16.418824000000008</v>
      </c>
    </row>
    <row r="25" spans="1:6" x14ac:dyDescent="0.2">
      <c r="A25" s="32" t="s">
        <v>159</v>
      </c>
      <c r="B25" s="33" t="s">
        <v>160</v>
      </c>
      <c r="C25" s="34">
        <v>1</v>
      </c>
      <c r="D25" s="36">
        <v>29.5</v>
      </c>
      <c r="E25" s="34" t="s">
        <v>164</v>
      </c>
      <c r="F25">
        <v>15.898348000000002</v>
      </c>
    </row>
    <row r="26" spans="1:6" x14ac:dyDescent="0.2">
      <c r="A26" s="32" t="s">
        <v>159</v>
      </c>
      <c r="B26" s="35">
        <v>13</v>
      </c>
      <c r="C26" s="34">
        <v>1</v>
      </c>
      <c r="D26" s="36">
        <v>29.5</v>
      </c>
      <c r="E26" s="34" t="s">
        <v>164</v>
      </c>
      <c r="F26">
        <v>14.668131999999991</v>
      </c>
    </row>
    <row r="27" spans="1:6" x14ac:dyDescent="0.2">
      <c r="A27" s="32" t="s">
        <v>159</v>
      </c>
      <c r="B27" s="35">
        <v>14</v>
      </c>
      <c r="C27" s="34">
        <v>1</v>
      </c>
      <c r="D27" s="36">
        <v>29.5</v>
      </c>
      <c r="E27" s="34" t="s">
        <v>164</v>
      </c>
      <c r="F27">
        <v>26.165920000000003</v>
      </c>
    </row>
    <row r="28" spans="1:6" x14ac:dyDescent="0.2">
      <c r="A28" s="32" t="s">
        <v>159</v>
      </c>
      <c r="B28" s="35">
        <v>15</v>
      </c>
      <c r="C28" s="34">
        <v>1</v>
      </c>
      <c r="D28" s="36">
        <v>29.5</v>
      </c>
      <c r="E28" s="34" t="s">
        <v>164</v>
      </c>
      <c r="F28">
        <v>19.825575999999987</v>
      </c>
    </row>
    <row r="29" spans="1:6" x14ac:dyDescent="0.2">
      <c r="A29" s="32" t="s">
        <v>159</v>
      </c>
      <c r="B29" s="33" t="s">
        <v>160</v>
      </c>
      <c r="C29" s="34">
        <v>1</v>
      </c>
      <c r="D29" s="36">
        <v>32</v>
      </c>
      <c r="E29" s="34" t="s">
        <v>163</v>
      </c>
      <c r="F29">
        <v>20.062155999999984</v>
      </c>
    </row>
    <row r="30" spans="1:6" x14ac:dyDescent="0.2">
      <c r="A30" s="32" t="s">
        <v>159</v>
      </c>
      <c r="B30" s="35">
        <v>13</v>
      </c>
      <c r="C30" s="34">
        <v>1</v>
      </c>
      <c r="D30" s="36">
        <v>32</v>
      </c>
      <c r="E30" s="34" t="s">
        <v>163</v>
      </c>
      <c r="F30">
        <v>6.3405160000000027</v>
      </c>
    </row>
    <row r="31" spans="1:6" x14ac:dyDescent="0.2">
      <c r="A31" s="32" t="s">
        <v>159</v>
      </c>
      <c r="B31" s="35">
        <v>14</v>
      </c>
      <c r="C31" s="34">
        <v>1</v>
      </c>
      <c r="D31" s="36">
        <v>32</v>
      </c>
      <c r="E31" s="34" t="s">
        <v>163</v>
      </c>
      <c r="F31">
        <v>17.033932000000004</v>
      </c>
    </row>
    <row r="32" spans="1:6" x14ac:dyDescent="0.2">
      <c r="A32" s="32" t="s">
        <v>159</v>
      </c>
      <c r="B32" s="35">
        <v>15</v>
      </c>
      <c r="C32" s="34">
        <v>1</v>
      </c>
      <c r="D32" s="36">
        <v>32</v>
      </c>
      <c r="E32" s="34" t="s">
        <v>163</v>
      </c>
      <c r="F32">
        <v>7.6180479999999999</v>
      </c>
    </row>
    <row r="33" spans="1:6" x14ac:dyDescent="0.2">
      <c r="A33" s="32" t="s">
        <v>159</v>
      </c>
      <c r="B33" s="33" t="s">
        <v>160</v>
      </c>
      <c r="C33" s="34">
        <v>1</v>
      </c>
      <c r="D33" s="36">
        <v>32</v>
      </c>
      <c r="E33" s="34" t="s">
        <v>164</v>
      </c>
      <c r="F33">
        <v>11.356012000000019</v>
      </c>
    </row>
    <row r="34" spans="1:6" x14ac:dyDescent="0.2">
      <c r="A34" s="32" t="s">
        <v>159</v>
      </c>
      <c r="B34" s="35">
        <v>13</v>
      </c>
      <c r="C34" s="34">
        <v>1</v>
      </c>
      <c r="D34" s="36">
        <v>32</v>
      </c>
      <c r="E34" s="34" t="s">
        <v>164</v>
      </c>
      <c r="F34">
        <v>18.784623999999976</v>
      </c>
    </row>
    <row r="35" spans="1:6" x14ac:dyDescent="0.2">
      <c r="A35" s="32" t="s">
        <v>159</v>
      </c>
      <c r="B35" s="35">
        <v>14</v>
      </c>
      <c r="C35" s="34">
        <v>1</v>
      </c>
      <c r="D35" s="36">
        <v>32</v>
      </c>
      <c r="E35" s="34" t="s">
        <v>164</v>
      </c>
      <c r="F35">
        <v>9.9365319999999961</v>
      </c>
    </row>
    <row r="36" spans="1:6" x14ac:dyDescent="0.2">
      <c r="A36" s="32" t="s">
        <v>159</v>
      </c>
      <c r="B36" s="35">
        <v>15</v>
      </c>
      <c r="C36" s="34">
        <v>1</v>
      </c>
      <c r="D36" s="36">
        <v>32</v>
      </c>
      <c r="E36" s="34" t="s">
        <v>164</v>
      </c>
      <c r="F36">
        <v>26.165920000000003</v>
      </c>
    </row>
    <row r="37" spans="1:6" x14ac:dyDescent="0.2">
      <c r="A37" s="32" t="s">
        <v>159</v>
      </c>
      <c r="B37" s="33" t="s">
        <v>160</v>
      </c>
      <c r="C37" s="34">
        <v>1</v>
      </c>
      <c r="D37" s="36">
        <v>34.5</v>
      </c>
      <c r="E37" s="34" t="s">
        <v>163</v>
      </c>
      <c r="F37">
        <v>28.058560000000007</v>
      </c>
    </row>
    <row r="38" spans="1:6" x14ac:dyDescent="0.2">
      <c r="A38" s="32" t="s">
        <v>159</v>
      </c>
      <c r="B38" s="35">
        <v>13</v>
      </c>
      <c r="C38" s="34">
        <v>1</v>
      </c>
      <c r="D38" s="36">
        <v>34.5</v>
      </c>
      <c r="E38" s="34" t="s">
        <v>163</v>
      </c>
      <c r="F38">
        <v>4.8737199999999969</v>
      </c>
    </row>
    <row r="39" spans="1:6" x14ac:dyDescent="0.2">
      <c r="A39" s="32" t="s">
        <v>159</v>
      </c>
      <c r="B39" s="35">
        <v>14</v>
      </c>
      <c r="C39" s="34">
        <v>1</v>
      </c>
      <c r="D39" s="36">
        <v>34.5</v>
      </c>
      <c r="E39" s="34" t="s">
        <v>163</v>
      </c>
      <c r="F39">
        <v>15.803716000000012</v>
      </c>
    </row>
    <row r="40" spans="1:6" x14ac:dyDescent="0.2">
      <c r="A40" s="32" t="s">
        <v>159</v>
      </c>
      <c r="B40" s="35">
        <v>15</v>
      </c>
      <c r="C40" s="34">
        <v>1</v>
      </c>
      <c r="D40" s="36">
        <v>34.5</v>
      </c>
      <c r="E40" s="34" t="s">
        <v>163</v>
      </c>
      <c r="F40">
        <v>5.9146719999999977</v>
      </c>
    </row>
    <row r="41" spans="1:6" x14ac:dyDescent="0.2">
      <c r="A41" s="32" t="s">
        <v>159</v>
      </c>
      <c r="B41" s="33" t="s">
        <v>160</v>
      </c>
      <c r="C41" s="34">
        <v>1</v>
      </c>
      <c r="D41" s="36">
        <v>34.5</v>
      </c>
      <c r="E41" s="34" t="s">
        <v>164</v>
      </c>
      <c r="F41">
        <v>12.586228000000009</v>
      </c>
    </row>
    <row r="42" spans="1:6" x14ac:dyDescent="0.2">
      <c r="A42" s="32" t="s">
        <v>159</v>
      </c>
      <c r="B42" s="35">
        <v>13</v>
      </c>
      <c r="C42" s="34">
        <v>1</v>
      </c>
      <c r="D42" s="36">
        <v>34.5</v>
      </c>
      <c r="E42" s="34" t="s">
        <v>164</v>
      </c>
      <c r="F42">
        <v>8.2331559999999993</v>
      </c>
    </row>
    <row r="43" spans="1:6" x14ac:dyDescent="0.2">
      <c r="A43" s="32" t="s">
        <v>159</v>
      </c>
      <c r="B43" s="35">
        <v>14</v>
      </c>
      <c r="C43" s="34">
        <v>1</v>
      </c>
      <c r="D43" s="36">
        <v>34.5</v>
      </c>
      <c r="E43" s="34" t="s">
        <v>164</v>
      </c>
      <c r="F43">
        <v>9.9838480000000018</v>
      </c>
    </row>
    <row r="44" spans="1:6" x14ac:dyDescent="0.2">
      <c r="A44" s="32" t="s">
        <v>159</v>
      </c>
      <c r="B44" s="35">
        <v>15</v>
      </c>
      <c r="C44" s="34">
        <v>1</v>
      </c>
      <c r="D44" s="36">
        <v>34.5</v>
      </c>
      <c r="E44" s="34" t="s">
        <v>164</v>
      </c>
      <c r="F44">
        <v>10.362376000000001</v>
      </c>
    </row>
    <row r="45" spans="1:6" x14ac:dyDescent="0.2">
      <c r="A45" s="32" t="s">
        <v>159</v>
      </c>
      <c r="B45" s="33" t="s">
        <v>160</v>
      </c>
      <c r="C45" s="34">
        <v>2</v>
      </c>
      <c r="D45" s="36">
        <v>27</v>
      </c>
      <c r="E45" s="34" t="s">
        <v>163</v>
      </c>
      <c r="F45">
        <v>34.162323999999991</v>
      </c>
    </row>
    <row r="46" spans="1:6" x14ac:dyDescent="0.2">
      <c r="A46" s="32" t="s">
        <v>159</v>
      </c>
      <c r="B46" s="35">
        <v>13</v>
      </c>
      <c r="C46" s="34">
        <v>2</v>
      </c>
      <c r="D46" s="36">
        <v>27</v>
      </c>
      <c r="E46" s="34" t="s">
        <v>163</v>
      </c>
      <c r="F46">
        <v>13.012072000000005</v>
      </c>
    </row>
    <row r="47" spans="1:6" x14ac:dyDescent="0.2">
      <c r="A47" s="32" t="s">
        <v>159</v>
      </c>
      <c r="B47" s="35">
        <v>14</v>
      </c>
      <c r="C47" s="34">
        <v>2</v>
      </c>
      <c r="D47" s="36">
        <v>27</v>
      </c>
      <c r="E47" s="34" t="s">
        <v>163</v>
      </c>
      <c r="F47">
        <v>18.027567999999999</v>
      </c>
    </row>
    <row r="48" spans="1:6" x14ac:dyDescent="0.2">
      <c r="A48" s="32" t="s">
        <v>159</v>
      </c>
      <c r="B48" s="35">
        <v>15</v>
      </c>
      <c r="C48" s="34">
        <v>2</v>
      </c>
      <c r="D48" s="36">
        <v>27</v>
      </c>
      <c r="E48" s="34" t="s">
        <v>163</v>
      </c>
      <c r="F48">
        <v>14.620815999999996</v>
      </c>
    </row>
    <row r="49" spans="1:6" x14ac:dyDescent="0.2">
      <c r="A49" s="32" t="s">
        <v>159</v>
      </c>
      <c r="B49" s="33" t="s">
        <v>160</v>
      </c>
      <c r="C49" s="34">
        <v>2</v>
      </c>
      <c r="D49" s="36">
        <v>27</v>
      </c>
      <c r="E49" s="34" t="s">
        <v>164</v>
      </c>
      <c r="F49">
        <v>31.134099999999982</v>
      </c>
    </row>
    <row r="50" spans="1:6" x14ac:dyDescent="0.2">
      <c r="A50" s="32" t="s">
        <v>159</v>
      </c>
      <c r="B50" s="35">
        <v>13</v>
      </c>
      <c r="C50" s="34">
        <v>2</v>
      </c>
      <c r="D50" s="36">
        <v>27</v>
      </c>
      <c r="E50" s="34" t="s">
        <v>164</v>
      </c>
      <c r="F50">
        <v>14.194972</v>
      </c>
    </row>
    <row r="51" spans="1:6" x14ac:dyDescent="0.2">
      <c r="A51" s="32" t="s">
        <v>159</v>
      </c>
      <c r="B51" s="35">
        <v>14</v>
      </c>
      <c r="C51" s="34">
        <v>2</v>
      </c>
      <c r="D51" s="36">
        <v>27</v>
      </c>
      <c r="E51" s="34" t="s">
        <v>164</v>
      </c>
      <c r="F51">
        <v>17.932935999999987</v>
      </c>
    </row>
    <row r="52" spans="1:6" x14ac:dyDescent="0.2">
      <c r="A52" s="32" t="s">
        <v>159</v>
      </c>
      <c r="B52" s="35">
        <v>15</v>
      </c>
      <c r="C52" s="34">
        <v>2</v>
      </c>
      <c r="D52" s="36">
        <v>27</v>
      </c>
      <c r="E52" s="34" t="s">
        <v>164</v>
      </c>
      <c r="F52">
        <v>11.356012000000009</v>
      </c>
    </row>
    <row r="53" spans="1:6" x14ac:dyDescent="0.2">
      <c r="A53" s="32" t="s">
        <v>159</v>
      </c>
      <c r="B53" s="33" t="s">
        <v>160</v>
      </c>
      <c r="C53" s="34">
        <v>2</v>
      </c>
      <c r="D53" s="36">
        <v>29.5</v>
      </c>
      <c r="E53" s="34" t="s">
        <v>163</v>
      </c>
      <c r="F53">
        <v>28.910247999999996</v>
      </c>
    </row>
    <row r="54" spans="1:6" x14ac:dyDescent="0.2">
      <c r="A54" s="32" t="s">
        <v>159</v>
      </c>
      <c r="B54" s="35">
        <v>13</v>
      </c>
      <c r="C54" s="34">
        <v>2</v>
      </c>
      <c r="D54" s="36">
        <v>29.5</v>
      </c>
      <c r="E54" s="34" t="s">
        <v>163</v>
      </c>
      <c r="F54">
        <v>12.680859999999999</v>
      </c>
    </row>
    <row r="55" spans="1:6" x14ac:dyDescent="0.2">
      <c r="A55" s="32" t="s">
        <v>159</v>
      </c>
      <c r="B55" s="35">
        <v>14</v>
      </c>
      <c r="C55" s="34">
        <v>2</v>
      </c>
      <c r="D55" s="36">
        <v>29.5</v>
      </c>
      <c r="E55" s="34" t="s">
        <v>163</v>
      </c>
      <c r="F55">
        <v>15.519820000000001</v>
      </c>
    </row>
    <row r="56" spans="1:6" x14ac:dyDescent="0.2">
      <c r="A56" s="32" t="s">
        <v>159</v>
      </c>
      <c r="B56" s="35">
        <v>15</v>
      </c>
      <c r="C56" s="34">
        <v>2</v>
      </c>
      <c r="D56" s="36">
        <v>29.5</v>
      </c>
      <c r="E56" s="34" t="s">
        <v>163</v>
      </c>
      <c r="F56">
        <v>9.2741080000000053</v>
      </c>
    </row>
    <row r="57" spans="1:6" x14ac:dyDescent="0.2">
      <c r="A57" s="32" t="s">
        <v>159</v>
      </c>
      <c r="B57" s="33" t="s">
        <v>160</v>
      </c>
      <c r="C57" s="34">
        <v>2</v>
      </c>
      <c r="D57" s="36">
        <v>29.5</v>
      </c>
      <c r="E57" s="34" t="s">
        <v>164</v>
      </c>
      <c r="F57">
        <v>17.08124800000002</v>
      </c>
    </row>
    <row r="58" spans="1:6" x14ac:dyDescent="0.2">
      <c r="A58" s="32" t="s">
        <v>159</v>
      </c>
      <c r="B58" s="35">
        <v>13</v>
      </c>
      <c r="C58" s="34">
        <v>2</v>
      </c>
      <c r="D58" s="36">
        <v>29.5</v>
      </c>
      <c r="E58" s="34" t="s">
        <v>164</v>
      </c>
      <c r="F58">
        <v>11.971120000000015</v>
      </c>
    </row>
    <row r="59" spans="1:6" x14ac:dyDescent="0.2">
      <c r="A59" s="32" t="s">
        <v>159</v>
      </c>
      <c r="B59" s="35">
        <v>14</v>
      </c>
      <c r="C59" s="34">
        <v>2</v>
      </c>
      <c r="D59" s="36">
        <v>29.5</v>
      </c>
      <c r="E59" s="34" t="s">
        <v>164</v>
      </c>
      <c r="F59">
        <v>16.229560000000006</v>
      </c>
    </row>
    <row r="60" spans="1:6" x14ac:dyDescent="0.2">
      <c r="A60" s="32" t="s">
        <v>159</v>
      </c>
      <c r="B60" s="35">
        <v>15</v>
      </c>
      <c r="C60" s="34">
        <v>2</v>
      </c>
      <c r="D60" s="36">
        <v>29.5</v>
      </c>
      <c r="E60" s="34" t="s">
        <v>164</v>
      </c>
      <c r="F60">
        <v>13.721812000000011</v>
      </c>
    </row>
    <row r="61" spans="1:6" x14ac:dyDescent="0.2">
      <c r="A61" s="32" t="s">
        <v>159</v>
      </c>
      <c r="B61" s="33" t="s">
        <v>160</v>
      </c>
      <c r="C61" s="34">
        <v>2</v>
      </c>
      <c r="D61" s="36">
        <v>32</v>
      </c>
      <c r="E61" s="34" t="s">
        <v>163</v>
      </c>
      <c r="F61">
        <v>44.146000000000001</v>
      </c>
    </row>
    <row r="62" spans="1:6" x14ac:dyDescent="0.2">
      <c r="A62" s="32" t="s">
        <v>159</v>
      </c>
      <c r="B62" s="35">
        <v>13</v>
      </c>
      <c r="C62" s="34">
        <v>2</v>
      </c>
      <c r="D62" s="36">
        <v>32</v>
      </c>
      <c r="E62" s="34" t="s">
        <v>163</v>
      </c>
      <c r="F62">
        <v>8.6590000000000007</v>
      </c>
    </row>
    <row r="63" spans="1:6" x14ac:dyDescent="0.2">
      <c r="A63" s="32" t="s">
        <v>159</v>
      </c>
      <c r="B63" s="35">
        <v>14</v>
      </c>
      <c r="C63" s="34">
        <v>2</v>
      </c>
      <c r="D63" s="36">
        <v>32</v>
      </c>
      <c r="E63" s="34" t="s">
        <v>163</v>
      </c>
      <c r="F63">
        <v>11.166748000000009</v>
      </c>
    </row>
    <row r="64" spans="1:6" x14ac:dyDescent="0.2">
      <c r="A64" s="32" t="s">
        <v>159</v>
      </c>
      <c r="B64" s="35">
        <v>15</v>
      </c>
      <c r="C64" s="34">
        <v>2</v>
      </c>
      <c r="D64" s="36">
        <v>32</v>
      </c>
      <c r="E64" s="34" t="s">
        <v>163</v>
      </c>
      <c r="F64">
        <v>10.504323999999997</v>
      </c>
    </row>
    <row r="65" spans="1:6" x14ac:dyDescent="0.2">
      <c r="A65" s="32" t="s">
        <v>159</v>
      </c>
      <c r="B65" s="33" t="s">
        <v>160</v>
      </c>
      <c r="C65" s="34">
        <v>2</v>
      </c>
      <c r="D65" s="36">
        <v>32</v>
      </c>
      <c r="E65" s="34" t="s">
        <v>164</v>
      </c>
      <c r="F65">
        <v>41.496303999999959</v>
      </c>
    </row>
    <row r="66" spans="1:6" x14ac:dyDescent="0.2">
      <c r="A66" s="32" t="s">
        <v>159</v>
      </c>
      <c r="B66" s="35">
        <v>13</v>
      </c>
      <c r="C66" s="34">
        <v>2</v>
      </c>
      <c r="D66" s="36">
        <v>32</v>
      </c>
      <c r="E66" s="34" t="s">
        <v>164</v>
      </c>
      <c r="F66">
        <v>11.214064000000002</v>
      </c>
    </row>
    <row r="67" spans="1:6" x14ac:dyDescent="0.2">
      <c r="A67" s="32" t="s">
        <v>159</v>
      </c>
      <c r="B67" s="35">
        <v>14</v>
      </c>
      <c r="C67" s="34">
        <v>2</v>
      </c>
      <c r="D67" s="36">
        <v>32</v>
      </c>
      <c r="E67" s="34" t="s">
        <v>164</v>
      </c>
      <c r="F67">
        <v>20.109472</v>
      </c>
    </row>
    <row r="68" spans="1:6" x14ac:dyDescent="0.2">
      <c r="A68" s="32" t="s">
        <v>159</v>
      </c>
      <c r="B68" s="35">
        <v>15</v>
      </c>
      <c r="C68" s="34">
        <v>2</v>
      </c>
      <c r="D68" s="36">
        <v>32</v>
      </c>
      <c r="E68" s="34" t="s">
        <v>164</v>
      </c>
      <c r="F68">
        <v>9.7945840000000022</v>
      </c>
    </row>
    <row r="69" spans="1:6" x14ac:dyDescent="0.2">
      <c r="A69" s="32" t="s">
        <v>159</v>
      </c>
      <c r="B69" s="33" t="s">
        <v>160</v>
      </c>
      <c r="C69" s="34">
        <v>2</v>
      </c>
      <c r="D69" s="36">
        <v>34.5</v>
      </c>
      <c r="E69" s="34" t="s">
        <v>163</v>
      </c>
      <c r="F69">
        <v>28.437088000000006</v>
      </c>
    </row>
    <row r="70" spans="1:6" x14ac:dyDescent="0.2">
      <c r="A70" s="32" t="s">
        <v>159</v>
      </c>
      <c r="B70" s="35">
        <v>13</v>
      </c>
      <c r="C70" s="34">
        <v>2</v>
      </c>
      <c r="D70" s="36">
        <v>34.5</v>
      </c>
      <c r="E70" s="34" t="s">
        <v>163</v>
      </c>
      <c r="F70">
        <v>10.930168000000004</v>
      </c>
    </row>
    <row r="71" spans="1:6" x14ac:dyDescent="0.2">
      <c r="A71" s="32" t="s">
        <v>159</v>
      </c>
      <c r="B71" s="35">
        <v>14</v>
      </c>
      <c r="C71" s="34">
        <v>2</v>
      </c>
      <c r="D71" s="36">
        <v>34.5</v>
      </c>
      <c r="E71" s="34" t="s">
        <v>163</v>
      </c>
      <c r="F71">
        <v>25.266915999999998</v>
      </c>
    </row>
    <row r="72" spans="1:6" x14ac:dyDescent="0.2">
      <c r="A72" s="32" t="s">
        <v>159</v>
      </c>
      <c r="B72" s="35">
        <v>15</v>
      </c>
      <c r="C72" s="34">
        <v>2</v>
      </c>
      <c r="D72" s="36">
        <v>34.5</v>
      </c>
      <c r="E72" s="34" t="s">
        <v>163</v>
      </c>
      <c r="F72">
        <v>8.9428960000000011</v>
      </c>
    </row>
    <row r="73" spans="1:6" x14ac:dyDescent="0.2">
      <c r="A73" s="32" t="s">
        <v>159</v>
      </c>
      <c r="B73" s="33" t="s">
        <v>160</v>
      </c>
      <c r="C73" s="34">
        <v>2</v>
      </c>
      <c r="D73" s="36">
        <v>34.5</v>
      </c>
      <c r="E73" s="34" t="s">
        <v>164</v>
      </c>
      <c r="F73">
        <v>24.793756000000009</v>
      </c>
    </row>
    <row r="74" spans="1:6" x14ac:dyDescent="0.2">
      <c r="A74" s="32" t="s">
        <v>159</v>
      </c>
      <c r="B74" s="35">
        <v>13</v>
      </c>
      <c r="C74" s="34">
        <v>2</v>
      </c>
      <c r="D74" s="36">
        <v>34.5</v>
      </c>
      <c r="E74" s="34" t="s">
        <v>164</v>
      </c>
      <c r="F74">
        <v>16.608087999999988</v>
      </c>
    </row>
    <row r="75" spans="1:6" x14ac:dyDescent="0.2">
      <c r="A75" s="32" t="s">
        <v>159</v>
      </c>
      <c r="B75" s="35">
        <v>14</v>
      </c>
      <c r="C75" s="34">
        <v>2</v>
      </c>
      <c r="D75" s="36">
        <v>34.5</v>
      </c>
      <c r="E75" s="34" t="s">
        <v>164</v>
      </c>
      <c r="F75">
        <v>11.687224000000004</v>
      </c>
    </row>
    <row r="76" spans="1:6" x14ac:dyDescent="0.2">
      <c r="A76" s="32" t="s">
        <v>159</v>
      </c>
      <c r="B76" s="35">
        <v>15</v>
      </c>
      <c r="C76" s="34">
        <v>2</v>
      </c>
      <c r="D76" s="36">
        <v>34.5</v>
      </c>
      <c r="E76" s="34" t="s">
        <v>164</v>
      </c>
      <c r="F76">
        <v>18.264147999999992</v>
      </c>
    </row>
    <row r="77" spans="1:6" x14ac:dyDescent="0.2">
      <c r="A77" s="32" t="s">
        <v>159</v>
      </c>
      <c r="B77" s="33" t="s">
        <v>160</v>
      </c>
      <c r="C77" s="34">
        <v>3</v>
      </c>
      <c r="D77" s="36">
        <v>27</v>
      </c>
      <c r="E77" s="34" t="s">
        <v>163</v>
      </c>
      <c r="F77">
        <v>16.276876000000001</v>
      </c>
    </row>
    <row r="78" spans="1:6" x14ac:dyDescent="0.2">
      <c r="A78" s="32" t="s">
        <v>159</v>
      </c>
      <c r="B78" s="35">
        <v>13</v>
      </c>
      <c r="C78" s="34">
        <v>3</v>
      </c>
      <c r="D78" s="36">
        <v>27</v>
      </c>
      <c r="E78" s="34" t="s">
        <v>163</v>
      </c>
      <c r="F78">
        <v>19.352415999999998</v>
      </c>
    </row>
    <row r="79" spans="1:6" x14ac:dyDescent="0.2">
      <c r="A79" s="32" t="s">
        <v>159</v>
      </c>
      <c r="B79" s="35">
        <v>14</v>
      </c>
      <c r="C79" s="34">
        <v>3</v>
      </c>
      <c r="D79" s="36">
        <v>27</v>
      </c>
      <c r="E79" s="34" t="s">
        <v>163</v>
      </c>
      <c r="F79">
        <v>15.898348000000002</v>
      </c>
    </row>
    <row r="80" spans="1:6" x14ac:dyDescent="0.2">
      <c r="A80" s="32" t="s">
        <v>159</v>
      </c>
      <c r="B80" s="35">
        <v>15</v>
      </c>
      <c r="C80" s="34">
        <v>3</v>
      </c>
      <c r="D80" s="36">
        <v>27</v>
      </c>
      <c r="E80" s="34" t="s">
        <v>163</v>
      </c>
      <c r="F80">
        <v>10.173112000000001</v>
      </c>
    </row>
    <row r="81" spans="1:6" x14ac:dyDescent="0.2">
      <c r="A81" s="32" t="s">
        <v>159</v>
      </c>
      <c r="B81" s="33" t="s">
        <v>160</v>
      </c>
      <c r="C81" s="34">
        <v>3</v>
      </c>
      <c r="D81" s="36">
        <v>27</v>
      </c>
      <c r="E81" s="34" t="s">
        <v>164</v>
      </c>
      <c r="F81">
        <v>15.992980000000014</v>
      </c>
    </row>
    <row r="82" spans="1:6" x14ac:dyDescent="0.2">
      <c r="A82" s="32" t="s">
        <v>159</v>
      </c>
      <c r="B82" s="35">
        <v>13</v>
      </c>
      <c r="C82" s="34">
        <v>3</v>
      </c>
      <c r="D82" s="36">
        <v>27</v>
      </c>
      <c r="E82" s="34" t="s">
        <v>164</v>
      </c>
      <c r="F82">
        <v>9.9365320000000068</v>
      </c>
    </row>
    <row r="83" spans="1:6" x14ac:dyDescent="0.2">
      <c r="A83" s="32" t="s">
        <v>159</v>
      </c>
      <c r="B83" s="35">
        <v>14</v>
      </c>
      <c r="C83" s="34">
        <v>3</v>
      </c>
      <c r="D83" s="36">
        <v>27</v>
      </c>
      <c r="E83" s="34" t="s">
        <v>164</v>
      </c>
      <c r="F83">
        <v>18.406095999999998</v>
      </c>
    </row>
    <row r="84" spans="1:6" x14ac:dyDescent="0.2">
      <c r="A84" s="32" t="s">
        <v>159</v>
      </c>
      <c r="B84" s="35">
        <v>15</v>
      </c>
      <c r="C84" s="34">
        <v>3</v>
      </c>
      <c r="D84" s="36">
        <v>27</v>
      </c>
      <c r="E84" s="34" t="s">
        <v>164</v>
      </c>
      <c r="F84">
        <v>21.339687999999988</v>
      </c>
    </row>
    <row r="85" spans="1:6" x14ac:dyDescent="0.2">
      <c r="A85" s="32" t="s">
        <v>159</v>
      </c>
      <c r="B85" s="33" t="s">
        <v>160</v>
      </c>
      <c r="C85" s="34">
        <v>3</v>
      </c>
      <c r="D85" s="36">
        <v>29.5</v>
      </c>
      <c r="E85" s="34" t="s">
        <v>163</v>
      </c>
      <c r="F85">
        <v>38.61002800000005</v>
      </c>
    </row>
    <row r="86" spans="1:6" x14ac:dyDescent="0.2">
      <c r="A86" s="32" t="s">
        <v>159</v>
      </c>
      <c r="B86" s="35">
        <v>13</v>
      </c>
      <c r="C86" s="34">
        <v>3</v>
      </c>
      <c r="D86" s="36">
        <v>29.5</v>
      </c>
      <c r="E86" s="34" t="s">
        <v>163</v>
      </c>
      <c r="F86">
        <v>5.7727240000000029</v>
      </c>
    </row>
    <row r="87" spans="1:6" x14ac:dyDescent="0.2">
      <c r="A87" s="32" t="s">
        <v>159</v>
      </c>
      <c r="B87" s="35">
        <v>14</v>
      </c>
      <c r="C87" s="34">
        <v>3</v>
      </c>
      <c r="D87" s="36">
        <v>29.5</v>
      </c>
      <c r="E87" s="34" t="s">
        <v>163</v>
      </c>
      <c r="F87">
        <v>11.166747999999998</v>
      </c>
    </row>
    <row r="88" spans="1:6" x14ac:dyDescent="0.2">
      <c r="A88" s="32" t="s">
        <v>159</v>
      </c>
      <c r="B88" s="35">
        <v>15</v>
      </c>
      <c r="C88" s="34">
        <v>3</v>
      </c>
      <c r="D88" s="36">
        <v>29.5</v>
      </c>
      <c r="E88" s="34" t="s">
        <v>163</v>
      </c>
      <c r="F88">
        <v>15.425188000000013</v>
      </c>
    </row>
    <row r="89" spans="1:6" x14ac:dyDescent="0.2">
      <c r="A89" s="32" t="s">
        <v>159</v>
      </c>
      <c r="B89" s="33" t="s">
        <v>160</v>
      </c>
      <c r="C89" s="34">
        <v>3</v>
      </c>
      <c r="D89" s="36">
        <v>29.5</v>
      </c>
      <c r="E89" s="34" t="s">
        <v>164</v>
      </c>
      <c r="F89">
        <v>14.47886799999999</v>
      </c>
    </row>
    <row r="90" spans="1:6" x14ac:dyDescent="0.2">
      <c r="A90" s="32" t="s">
        <v>159</v>
      </c>
      <c r="B90" s="35">
        <v>13</v>
      </c>
      <c r="C90" s="34">
        <v>3</v>
      </c>
      <c r="D90" s="36">
        <v>29.5</v>
      </c>
      <c r="E90" s="34" t="s">
        <v>164</v>
      </c>
      <c r="F90">
        <v>13.579864000000006</v>
      </c>
    </row>
    <row r="91" spans="1:6" x14ac:dyDescent="0.2">
      <c r="A91" s="32" t="s">
        <v>159</v>
      </c>
      <c r="B91" s="35">
        <v>14</v>
      </c>
      <c r="C91" s="34">
        <v>3</v>
      </c>
      <c r="D91" s="36">
        <v>29.5</v>
      </c>
      <c r="E91" s="34" t="s">
        <v>164</v>
      </c>
      <c r="F91">
        <v>19.021203999999994</v>
      </c>
    </row>
    <row r="92" spans="1:6" x14ac:dyDescent="0.2">
      <c r="A92" s="32" t="s">
        <v>159</v>
      </c>
      <c r="B92" s="35">
        <v>15</v>
      </c>
      <c r="C92" s="34">
        <v>3</v>
      </c>
      <c r="D92" s="36">
        <v>29.5</v>
      </c>
      <c r="E92" s="34" t="s">
        <v>164</v>
      </c>
      <c r="F92">
        <v>7.5234159999999992</v>
      </c>
    </row>
    <row r="93" spans="1:6" x14ac:dyDescent="0.2">
      <c r="A93" s="32" t="s">
        <v>159</v>
      </c>
      <c r="B93" s="33" t="s">
        <v>160</v>
      </c>
      <c r="C93" s="34">
        <v>3</v>
      </c>
      <c r="D93" s="36">
        <v>32</v>
      </c>
      <c r="E93" s="34" t="s">
        <v>163</v>
      </c>
      <c r="F93">
        <v>15.945663999999997</v>
      </c>
    </row>
    <row r="94" spans="1:6" x14ac:dyDescent="0.2">
      <c r="A94" s="32" t="s">
        <v>159</v>
      </c>
      <c r="B94" s="35">
        <v>13</v>
      </c>
      <c r="C94" s="34">
        <v>3</v>
      </c>
      <c r="D94" s="36">
        <v>32</v>
      </c>
      <c r="E94" s="34" t="s">
        <v>163</v>
      </c>
      <c r="F94">
        <v>5.3941960000000027</v>
      </c>
    </row>
    <row r="95" spans="1:6" x14ac:dyDescent="0.2">
      <c r="A95" s="32" t="s">
        <v>159</v>
      </c>
      <c r="B95" s="35">
        <v>14</v>
      </c>
      <c r="C95" s="34">
        <v>3</v>
      </c>
      <c r="D95" s="36">
        <v>32</v>
      </c>
      <c r="E95" s="34" t="s">
        <v>163</v>
      </c>
      <c r="F95">
        <v>17.081247999999999</v>
      </c>
    </row>
    <row r="96" spans="1:6" x14ac:dyDescent="0.2">
      <c r="A96" s="32" t="s">
        <v>159</v>
      </c>
      <c r="B96" s="35">
        <v>15</v>
      </c>
      <c r="C96" s="34">
        <v>3</v>
      </c>
      <c r="D96" s="36">
        <v>32</v>
      </c>
      <c r="E96" s="34" t="s">
        <v>163</v>
      </c>
      <c r="F96">
        <v>11.214064000000002</v>
      </c>
    </row>
    <row r="97" spans="1:6" x14ac:dyDescent="0.2">
      <c r="A97" s="32" t="s">
        <v>159</v>
      </c>
      <c r="B97" s="33" t="s">
        <v>160</v>
      </c>
      <c r="C97" s="34">
        <v>3</v>
      </c>
      <c r="D97" s="36">
        <v>32</v>
      </c>
      <c r="E97" s="34" t="s">
        <v>164</v>
      </c>
      <c r="F97">
        <v>31.086784000000009</v>
      </c>
    </row>
    <row r="98" spans="1:6" x14ac:dyDescent="0.2">
      <c r="A98" s="32" t="s">
        <v>159</v>
      </c>
      <c r="B98" s="35">
        <v>13</v>
      </c>
      <c r="C98" s="34">
        <v>3</v>
      </c>
      <c r="D98" s="36">
        <v>32</v>
      </c>
      <c r="E98" s="34" t="s">
        <v>164</v>
      </c>
      <c r="F98">
        <v>12.964756</v>
      </c>
    </row>
    <row r="99" spans="1:6" x14ac:dyDescent="0.2">
      <c r="A99" s="32" t="s">
        <v>159</v>
      </c>
      <c r="B99" s="35">
        <v>14</v>
      </c>
      <c r="C99" s="34">
        <v>3</v>
      </c>
      <c r="D99" s="36">
        <v>32</v>
      </c>
      <c r="E99" s="34" t="s">
        <v>164</v>
      </c>
      <c r="F99">
        <v>14.147655999999985</v>
      </c>
    </row>
    <row r="100" spans="1:6" x14ac:dyDescent="0.2">
      <c r="A100" s="32" t="s">
        <v>159</v>
      </c>
      <c r="B100" s="35">
        <v>15</v>
      </c>
      <c r="C100" s="34">
        <v>3</v>
      </c>
      <c r="D100" s="36">
        <v>32</v>
      </c>
      <c r="E100" s="34" t="s">
        <v>164</v>
      </c>
      <c r="F100">
        <v>8.8009480000000053</v>
      </c>
    </row>
    <row r="101" spans="1:6" x14ac:dyDescent="0.2">
      <c r="A101" s="32" t="s">
        <v>159</v>
      </c>
      <c r="B101" s="33" t="s">
        <v>160</v>
      </c>
      <c r="C101" s="34">
        <v>3</v>
      </c>
      <c r="D101" s="36">
        <v>34.5</v>
      </c>
      <c r="E101" s="34" t="s">
        <v>163</v>
      </c>
      <c r="F101">
        <v>37.994919999999965</v>
      </c>
    </row>
    <row r="102" spans="1:6" x14ac:dyDescent="0.2">
      <c r="A102" s="32" t="s">
        <v>159</v>
      </c>
      <c r="B102" s="35">
        <v>13</v>
      </c>
      <c r="C102" s="34">
        <v>3</v>
      </c>
      <c r="D102" s="36">
        <v>34.5</v>
      </c>
      <c r="E102" s="34" t="s">
        <v>163</v>
      </c>
      <c r="F102">
        <v>7.2868359999999992</v>
      </c>
    </row>
    <row r="103" spans="1:6" x14ac:dyDescent="0.2">
      <c r="A103" s="32" t="s">
        <v>159</v>
      </c>
      <c r="B103" s="35">
        <v>14</v>
      </c>
      <c r="C103" s="34">
        <v>3</v>
      </c>
      <c r="D103" s="36">
        <v>34.5</v>
      </c>
      <c r="E103" s="34" t="s">
        <v>163</v>
      </c>
      <c r="F103">
        <v>11.592591999999993</v>
      </c>
    </row>
    <row r="104" spans="1:6" x14ac:dyDescent="0.2">
      <c r="A104" s="32" t="s">
        <v>159</v>
      </c>
      <c r="B104" s="35">
        <v>15</v>
      </c>
      <c r="C104" s="34">
        <v>3</v>
      </c>
      <c r="D104" s="36">
        <v>34.5</v>
      </c>
      <c r="E104" s="34" t="s">
        <v>163</v>
      </c>
      <c r="F104">
        <v>8.091208</v>
      </c>
    </row>
    <row r="105" spans="1:6" x14ac:dyDescent="0.2">
      <c r="A105" s="32" t="s">
        <v>159</v>
      </c>
      <c r="B105" s="33" t="s">
        <v>160</v>
      </c>
      <c r="C105" s="34">
        <v>3</v>
      </c>
      <c r="D105" s="36">
        <v>34.5</v>
      </c>
      <c r="E105" s="34" t="s">
        <v>164</v>
      </c>
      <c r="F105">
        <v>23.090379999999985</v>
      </c>
    </row>
    <row r="106" spans="1:6" x14ac:dyDescent="0.2">
      <c r="A106" s="32" t="s">
        <v>159</v>
      </c>
      <c r="B106" s="35">
        <v>13</v>
      </c>
      <c r="C106" s="34">
        <v>3</v>
      </c>
      <c r="D106" s="36">
        <v>34.5</v>
      </c>
      <c r="E106" s="34" t="s">
        <v>164</v>
      </c>
      <c r="F106">
        <v>9.5580040000000057</v>
      </c>
    </row>
    <row r="107" spans="1:6" x14ac:dyDescent="0.2">
      <c r="A107" s="32" t="s">
        <v>159</v>
      </c>
      <c r="B107" s="35">
        <v>14</v>
      </c>
      <c r="C107" s="34">
        <v>3</v>
      </c>
      <c r="D107" s="36">
        <v>34.5</v>
      </c>
      <c r="E107" s="34" t="s">
        <v>164</v>
      </c>
      <c r="F107">
        <v>11.450644000000009</v>
      </c>
    </row>
    <row r="108" spans="1:6" x14ac:dyDescent="0.2">
      <c r="A108" s="32" t="s">
        <v>159</v>
      </c>
      <c r="B108" s="35">
        <v>15</v>
      </c>
      <c r="C108" s="34">
        <v>3</v>
      </c>
      <c r="D108" s="36">
        <v>34.5</v>
      </c>
      <c r="E108" s="34" t="s">
        <v>164</v>
      </c>
      <c r="F108">
        <v>11.024799999999992</v>
      </c>
    </row>
    <row r="109" spans="1:6" x14ac:dyDescent="0.2">
      <c r="A109" s="37" t="s">
        <v>165</v>
      </c>
      <c r="B109" s="34" t="s">
        <v>160</v>
      </c>
      <c r="C109" s="38" t="s">
        <v>161</v>
      </c>
      <c r="D109" s="34"/>
      <c r="E109" s="35"/>
      <c r="F109">
        <v>23.610855999999991</v>
      </c>
    </row>
    <row r="110" spans="1:6" x14ac:dyDescent="0.2">
      <c r="A110" s="32" t="s">
        <v>165</v>
      </c>
      <c r="B110" s="34">
        <v>13</v>
      </c>
      <c r="C110" s="38" t="s">
        <v>161</v>
      </c>
      <c r="D110" s="34"/>
      <c r="E110" s="35"/>
      <c r="F110">
        <v>13.201336000000005</v>
      </c>
    </row>
    <row r="111" spans="1:6" x14ac:dyDescent="0.2">
      <c r="A111" s="32" t="s">
        <v>165</v>
      </c>
      <c r="B111" s="34">
        <v>14</v>
      </c>
      <c r="C111" s="38" t="s">
        <v>161</v>
      </c>
      <c r="D111" s="34"/>
      <c r="E111" s="35"/>
      <c r="F111">
        <v>13.390600000000004</v>
      </c>
    </row>
    <row r="112" spans="1:6" x14ac:dyDescent="0.2">
      <c r="A112" s="32" t="s">
        <v>165</v>
      </c>
      <c r="B112" s="34">
        <v>15</v>
      </c>
      <c r="C112" s="38" t="s">
        <v>161</v>
      </c>
      <c r="D112" s="34"/>
      <c r="E112" s="35"/>
      <c r="F112">
        <v>25.456179999999978</v>
      </c>
    </row>
    <row r="113" spans="1:6" x14ac:dyDescent="0.2">
      <c r="A113" s="32" t="s">
        <v>165</v>
      </c>
      <c r="B113" s="34" t="s">
        <v>160</v>
      </c>
      <c r="C113" s="35">
        <v>0</v>
      </c>
      <c r="D113" s="34"/>
      <c r="E113" s="35"/>
      <c r="F113">
        <v>21.339687999999988</v>
      </c>
    </row>
    <row r="114" spans="1:6" x14ac:dyDescent="0.2">
      <c r="A114" s="32" t="s">
        <v>165</v>
      </c>
      <c r="B114" s="34">
        <v>13</v>
      </c>
      <c r="C114" s="35">
        <v>0</v>
      </c>
      <c r="D114" s="34"/>
      <c r="E114" s="35"/>
      <c r="F114">
        <v>4.5898240000000019</v>
      </c>
    </row>
    <row r="115" spans="1:6" x14ac:dyDescent="0.2">
      <c r="A115" s="37" t="s">
        <v>165</v>
      </c>
      <c r="B115" s="34">
        <v>14</v>
      </c>
      <c r="C115" s="35">
        <v>0</v>
      </c>
      <c r="D115" s="34"/>
      <c r="E115" s="35"/>
      <c r="F115">
        <v>8.4697359999999993</v>
      </c>
    </row>
    <row r="116" spans="1:6" x14ac:dyDescent="0.2">
      <c r="A116" s="37" t="s">
        <v>165</v>
      </c>
      <c r="B116" s="34">
        <v>15</v>
      </c>
      <c r="C116" s="35">
        <v>0</v>
      </c>
      <c r="D116" s="34"/>
      <c r="E116" s="35"/>
      <c r="F116">
        <v>15.661768000000007</v>
      </c>
    </row>
    <row r="117" spans="1:6" x14ac:dyDescent="0.2">
      <c r="A117" s="32" t="s">
        <v>165</v>
      </c>
      <c r="B117" s="34" t="s">
        <v>160</v>
      </c>
      <c r="C117" s="35">
        <v>1</v>
      </c>
      <c r="D117" s="34">
        <v>27</v>
      </c>
      <c r="E117" s="35" t="s">
        <v>163</v>
      </c>
      <c r="F117">
        <v>21.387004000000005</v>
      </c>
    </row>
    <row r="118" spans="1:6" x14ac:dyDescent="0.2">
      <c r="A118" s="32" t="s">
        <v>165</v>
      </c>
      <c r="B118" s="34">
        <v>13</v>
      </c>
      <c r="C118" s="35">
        <v>1</v>
      </c>
      <c r="D118" s="34">
        <v>27</v>
      </c>
      <c r="E118" s="35" t="s">
        <v>163</v>
      </c>
      <c r="F118">
        <v>8.3751040000000003</v>
      </c>
    </row>
    <row r="119" spans="1:6" x14ac:dyDescent="0.2">
      <c r="A119" s="32" t="s">
        <v>165</v>
      </c>
      <c r="B119" s="34">
        <v>14</v>
      </c>
      <c r="C119" s="35">
        <v>1</v>
      </c>
      <c r="D119" s="34">
        <v>27</v>
      </c>
      <c r="E119" s="35" t="s">
        <v>163</v>
      </c>
      <c r="F119">
        <v>17.885619999999992</v>
      </c>
    </row>
    <row r="120" spans="1:6" x14ac:dyDescent="0.2">
      <c r="A120" s="32" t="s">
        <v>165</v>
      </c>
      <c r="B120" s="34">
        <v>15</v>
      </c>
      <c r="C120" s="35">
        <v>1</v>
      </c>
      <c r="D120" s="34">
        <v>27</v>
      </c>
      <c r="E120" s="35" t="s">
        <v>163</v>
      </c>
      <c r="F120">
        <v>11.119432000000003</v>
      </c>
    </row>
    <row r="121" spans="1:6" x14ac:dyDescent="0.2">
      <c r="A121" s="37" t="s">
        <v>165</v>
      </c>
      <c r="B121" s="34" t="s">
        <v>160</v>
      </c>
      <c r="C121" s="35">
        <v>1</v>
      </c>
      <c r="D121" s="34">
        <v>27</v>
      </c>
      <c r="E121" s="35" t="s">
        <v>164</v>
      </c>
      <c r="F121">
        <v>8.6590000000000007</v>
      </c>
    </row>
    <row r="122" spans="1:6" x14ac:dyDescent="0.2">
      <c r="A122" s="37" t="s">
        <v>165</v>
      </c>
      <c r="B122" s="34">
        <v>13</v>
      </c>
      <c r="C122" s="35">
        <v>1</v>
      </c>
      <c r="D122" s="34">
        <v>27</v>
      </c>
      <c r="E122" s="35" t="s">
        <v>164</v>
      </c>
      <c r="F122">
        <v>12.870123999999999</v>
      </c>
    </row>
    <row r="123" spans="1:6" x14ac:dyDescent="0.2">
      <c r="A123" s="32" t="s">
        <v>165</v>
      </c>
      <c r="B123" s="34">
        <v>14</v>
      </c>
      <c r="C123" s="35">
        <v>1</v>
      </c>
      <c r="D123" s="34">
        <v>27</v>
      </c>
      <c r="E123" s="35" t="s">
        <v>164</v>
      </c>
      <c r="F123">
        <v>10.504324000000008</v>
      </c>
    </row>
    <row r="124" spans="1:6" x14ac:dyDescent="0.2">
      <c r="A124" s="32" t="s">
        <v>165</v>
      </c>
      <c r="B124" s="34">
        <v>15</v>
      </c>
      <c r="C124" s="35">
        <v>1</v>
      </c>
      <c r="D124" s="34">
        <v>27</v>
      </c>
      <c r="E124" s="35" t="s">
        <v>164</v>
      </c>
      <c r="F124">
        <v>11.308695999999992</v>
      </c>
    </row>
    <row r="125" spans="1:6" x14ac:dyDescent="0.2">
      <c r="A125" s="32" t="s">
        <v>165</v>
      </c>
      <c r="B125" s="34" t="s">
        <v>160</v>
      </c>
      <c r="C125" s="35">
        <v>1</v>
      </c>
      <c r="D125" s="34">
        <v>29.5</v>
      </c>
      <c r="E125" s="35" t="s">
        <v>163</v>
      </c>
      <c r="F125">
        <v>8.8482640000000004</v>
      </c>
    </row>
    <row r="126" spans="1:6" x14ac:dyDescent="0.2">
      <c r="A126" s="32" t="s">
        <v>165</v>
      </c>
      <c r="B126" s="34">
        <v>13</v>
      </c>
      <c r="C126" s="35">
        <v>1</v>
      </c>
      <c r="D126" s="34">
        <v>29.5</v>
      </c>
      <c r="E126" s="35" t="s">
        <v>163</v>
      </c>
      <c r="F126">
        <v>10.930167999999993</v>
      </c>
    </row>
    <row r="127" spans="1:6" x14ac:dyDescent="0.2">
      <c r="A127" s="32" t="s">
        <v>165</v>
      </c>
      <c r="B127" s="34">
        <v>14</v>
      </c>
      <c r="C127" s="35">
        <v>1</v>
      </c>
      <c r="D127" s="34">
        <v>29.5</v>
      </c>
      <c r="E127" s="35" t="s">
        <v>163</v>
      </c>
      <c r="F127">
        <v>5.1576160000000026</v>
      </c>
    </row>
    <row r="128" spans="1:6" x14ac:dyDescent="0.2">
      <c r="A128" s="37" t="s">
        <v>165</v>
      </c>
      <c r="B128" s="34">
        <v>15</v>
      </c>
      <c r="C128" s="35">
        <v>1</v>
      </c>
      <c r="D128" s="34">
        <v>29.5</v>
      </c>
      <c r="E128" s="35" t="s">
        <v>163</v>
      </c>
      <c r="F128">
        <v>8.1385240000000056</v>
      </c>
    </row>
    <row r="129" spans="1:6" x14ac:dyDescent="0.2">
      <c r="A129" s="32" t="s">
        <v>165</v>
      </c>
      <c r="B129" s="34" t="s">
        <v>160</v>
      </c>
      <c r="C129" s="35">
        <v>1</v>
      </c>
      <c r="D129" s="34">
        <v>29.5</v>
      </c>
      <c r="E129" s="35" t="s">
        <v>164</v>
      </c>
      <c r="F129">
        <v>16.844667999999981</v>
      </c>
    </row>
    <row r="130" spans="1:6" x14ac:dyDescent="0.2">
      <c r="A130" s="32" t="s">
        <v>165</v>
      </c>
      <c r="B130" s="34">
        <v>13</v>
      </c>
      <c r="C130" s="35">
        <v>1</v>
      </c>
      <c r="D130" s="34">
        <v>29.5</v>
      </c>
      <c r="E130" s="35" t="s">
        <v>164</v>
      </c>
      <c r="F130">
        <v>6.1512519999999977</v>
      </c>
    </row>
    <row r="131" spans="1:6" x14ac:dyDescent="0.2">
      <c r="A131" s="32" t="s">
        <v>165</v>
      </c>
      <c r="B131" s="34">
        <v>14</v>
      </c>
      <c r="C131" s="35">
        <v>1</v>
      </c>
      <c r="D131" s="34">
        <v>29.5</v>
      </c>
      <c r="E131" s="35" t="s">
        <v>164</v>
      </c>
      <c r="F131">
        <v>8.990212000000005</v>
      </c>
    </row>
    <row r="132" spans="1:6" x14ac:dyDescent="0.2">
      <c r="A132" s="32" t="s">
        <v>165</v>
      </c>
      <c r="B132" s="34">
        <v>15</v>
      </c>
      <c r="C132" s="35">
        <v>1</v>
      </c>
      <c r="D132" s="34">
        <v>29.5</v>
      </c>
      <c r="E132" s="35" t="s">
        <v>164</v>
      </c>
      <c r="F132">
        <v>10.125795999999996</v>
      </c>
    </row>
    <row r="133" spans="1:6" x14ac:dyDescent="0.2">
      <c r="A133" s="32" t="s">
        <v>165</v>
      </c>
      <c r="B133" s="34" t="s">
        <v>160</v>
      </c>
      <c r="C133" s="35">
        <v>1</v>
      </c>
      <c r="D133" s="34">
        <v>32</v>
      </c>
      <c r="E133" s="35" t="s">
        <v>163</v>
      </c>
      <c r="F133">
        <v>8.4697359999999993</v>
      </c>
    </row>
    <row r="134" spans="1:6" x14ac:dyDescent="0.2">
      <c r="A134" s="37" t="s">
        <v>165</v>
      </c>
      <c r="B134" s="34">
        <v>13</v>
      </c>
      <c r="C134" s="35">
        <v>1</v>
      </c>
      <c r="D134" s="34">
        <v>32</v>
      </c>
      <c r="E134" s="35" t="s">
        <v>163</v>
      </c>
      <c r="F134">
        <v>11.781855999999992</v>
      </c>
    </row>
    <row r="135" spans="1:6" x14ac:dyDescent="0.2">
      <c r="A135" s="37" t="s">
        <v>165</v>
      </c>
      <c r="B135" s="34">
        <v>14</v>
      </c>
      <c r="C135" s="35">
        <v>1</v>
      </c>
      <c r="D135" s="34">
        <v>32</v>
      </c>
      <c r="E135" s="35" t="s">
        <v>163</v>
      </c>
      <c r="F135">
        <v>5.2995640000000019</v>
      </c>
    </row>
    <row r="136" spans="1:6" x14ac:dyDescent="0.2">
      <c r="A136" s="32" t="s">
        <v>165</v>
      </c>
      <c r="B136" s="34">
        <v>15</v>
      </c>
      <c r="C136" s="35">
        <v>1</v>
      </c>
      <c r="D136" s="34">
        <v>32</v>
      </c>
      <c r="E136" s="35" t="s">
        <v>163</v>
      </c>
      <c r="F136">
        <v>6.1039360000000027</v>
      </c>
    </row>
    <row r="137" spans="1:6" x14ac:dyDescent="0.2">
      <c r="A137" s="32" t="s">
        <v>165</v>
      </c>
      <c r="B137" s="34" t="s">
        <v>160</v>
      </c>
      <c r="C137" s="35">
        <v>1</v>
      </c>
      <c r="D137" s="34">
        <v>32</v>
      </c>
      <c r="E137" s="35" t="s">
        <v>164</v>
      </c>
      <c r="F137">
        <v>6.4351480000000034</v>
      </c>
    </row>
    <row r="138" spans="1:6" x14ac:dyDescent="0.2">
      <c r="A138" s="32" t="s">
        <v>165</v>
      </c>
      <c r="B138" s="34">
        <v>13</v>
      </c>
      <c r="C138" s="35">
        <v>1</v>
      </c>
      <c r="D138" s="34">
        <v>32</v>
      </c>
      <c r="E138" s="35" t="s">
        <v>164</v>
      </c>
      <c r="F138">
        <v>5.4888279999999972</v>
      </c>
    </row>
    <row r="139" spans="1:6" x14ac:dyDescent="0.2">
      <c r="A139" s="32" t="s">
        <v>165</v>
      </c>
      <c r="B139" s="34">
        <v>14</v>
      </c>
      <c r="C139" s="35">
        <v>1</v>
      </c>
      <c r="D139" s="34">
        <v>32</v>
      </c>
      <c r="E139" s="35" t="s">
        <v>164</v>
      </c>
      <c r="F139">
        <v>5.7254080000000034</v>
      </c>
    </row>
    <row r="140" spans="1:6" x14ac:dyDescent="0.2">
      <c r="A140" s="32" t="s">
        <v>165</v>
      </c>
      <c r="B140" s="34">
        <v>15</v>
      </c>
      <c r="C140" s="35">
        <v>1</v>
      </c>
      <c r="D140" s="34">
        <v>32</v>
      </c>
      <c r="E140" s="35" t="s">
        <v>164</v>
      </c>
      <c r="F140">
        <v>4.7790879999999998</v>
      </c>
    </row>
    <row r="141" spans="1:6" x14ac:dyDescent="0.2">
      <c r="A141" s="37" t="s">
        <v>165</v>
      </c>
      <c r="B141" s="34" t="s">
        <v>160</v>
      </c>
      <c r="C141" s="35">
        <v>1</v>
      </c>
      <c r="D141" s="34">
        <v>34.5</v>
      </c>
      <c r="E141" s="35" t="s">
        <v>163</v>
      </c>
      <c r="F141">
        <v>8.2804719999999996</v>
      </c>
    </row>
    <row r="142" spans="1:6" x14ac:dyDescent="0.2">
      <c r="A142" s="32" t="s">
        <v>165</v>
      </c>
      <c r="B142" s="34">
        <v>13</v>
      </c>
      <c r="C142" s="35">
        <v>1</v>
      </c>
      <c r="D142" s="34">
        <v>34.5</v>
      </c>
      <c r="E142" s="35" t="s">
        <v>163</v>
      </c>
      <c r="F142">
        <v>10.504323999999986</v>
      </c>
    </row>
    <row r="143" spans="1:6" x14ac:dyDescent="0.2">
      <c r="A143" s="32" t="s">
        <v>165</v>
      </c>
      <c r="B143" s="34">
        <v>14</v>
      </c>
      <c r="C143" s="35">
        <v>1</v>
      </c>
      <c r="D143" s="34">
        <v>34.5</v>
      </c>
      <c r="E143" s="35" t="s">
        <v>163</v>
      </c>
      <c r="F143">
        <v>5.0156680000000016</v>
      </c>
    </row>
    <row r="144" spans="1:6" x14ac:dyDescent="0.2">
      <c r="A144" s="32" t="s">
        <v>165</v>
      </c>
      <c r="B144" s="34">
        <v>15</v>
      </c>
      <c r="C144" s="35">
        <v>1</v>
      </c>
      <c r="D144" s="34">
        <v>34.5</v>
      </c>
      <c r="E144" s="35" t="s">
        <v>163</v>
      </c>
      <c r="F144">
        <v>4.5425080000000015</v>
      </c>
    </row>
    <row r="145" spans="1:6" x14ac:dyDescent="0.2">
      <c r="A145" s="32" t="s">
        <v>165</v>
      </c>
      <c r="B145" s="34" t="s">
        <v>160</v>
      </c>
      <c r="C145" s="35">
        <v>1</v>
      </c>
      <c r="D145" s="34">
        <v>34.5</v>
      </c>
      <c r="E145" s="35" t="s">
        <v>164</v>
      </c>
      <c r="F145">
        <v>8.1385240000000056</v>
      </c>
    </row>
    <row r="146" spans="1:6" x14ac:dyDescent="0.2">
      <c r="A146" s="32" t="s">
        <v>165</v>
      </c>
      <c r="B146" s="34">
        <v>13</v>
      </c>
      <c r="C146" s="35">
        <v>1</v>
      </c>
      <c r="D146" s="34">
        <v>34.5</v>
      </c>
      <c r="E146" s="35" t="s">
        <v>164</v>
      </c>
      <c r="F146">
        <v>9.2267920000000014</v>
      </c>
    </row>
    <row r="147" spans="1:6" x14ac:dyDescent="0.2">
      <c r="A147" s="37" t="s">
        <v>165</v>
      </c>
      <c r="B147" s="34">
        <v>14</v>
      </c>
      <c r="C147" s="35">
        <v>1</v>
      </c>
      <c r="D147" s="34">
        <v>34.5</v>
      </c>
      <c r="E147" s="35" t="s">
        <v>164</v>
      </c>
      <c r="F147">
        <v>13.15402000000001</v>
      </c>
    </row>
    <row r="148" spans="1:6" x14ac:dyDescent="0.2">
      <c r="A148" s="37" t="s">
        <v>165</v>
      </c>
      <c r="B148" s="34">
        <v>15</v>
      </c>
      <c r="C148" s="35">
        <v>1</v>
      </c>
      <c r="D148" s="34">
        <v>34.5</v>
      </c>
      <c r="E148" s="35" t="s">
        <v>164</v>
      </c>
      <c r="F148">
        <v>16.276876000000023</v>
      </c>
    </row>
    <row r="149" spans="1:6" x14ac:dyDescent="0.2">
      <c r="A149" s="32" t="s">
        <v>165</v>
      </c>
      <c r="B149" s="34" t="s">
        <v>160</v>
      </c>
      <c r="C149" s="35">
        <v>2</v>
      </c>
      <c r="D149" s="34">
        <v>27</v>
      </c>
      <c r="E149" s="35" t="s">
        <v>163</v>
      </c>
      <c r="F149">
        <v>20.062155999999984</v>
      </c>
    </row>
    <row r="150" spans="1:6" x14ac:dyDescent="0.2">
      <c r="A150" s="32" t="s">
        <v>165</v>
      </c>
      <c r="B150" s="34">
        <v>13</v>
      </c>
      <c r="C150" s="35">
        <v>2</v>
      </c>
      <c r="D150" s="34">
        <v>27</v>
      </c>
      <c r="E150" s="35" t="s">
        <v>163</v>
      </c>
      <c r="F150">
        <v>13.627180000000001</v>
      </c>
    </row>
    <row r="151" spans="1:6" x14ac:dyDescent="0.2">
      <c r="A151" s="32" t="s">
        <v>165</v>
      </c>
      <c r="B151" s="34">
        <v>14</v>
      </c>
      <c r="C151" s="35">
        <v>2</v>
      </c>
      <c r="D151" s="34">
        <v>27</v>
      </c>
      <c r="E151" s="35" t="s">
        <v>163</v>
      </c>
      <c r="F151">
        <v>13.485231999999995</v>
      </c>
    </row>
    <row r="152" spans="1:6" x14ac:dyDescent="0.2">
      <c r="A152" s="32" t="s">
        <v>165</v>
      </c>
      <c r="B152" s="34">
        <v>15</v>
      </c>
      <c r="C152" s="35">
        <v>2</v>
      </c>
      <c r="D152" s="34">
        <v>27</v>
      </c>
      <c r="E152" s="35" t="s">
        <v>163</v>
      </c>
      <c r="F152">
        <v>7.9492600000000042</v>
      </c>
    </row>
    <row r="153" spans="1:6" x14ac:dyDescent="0.2">
      <c r="A153" s="37" t="s">
        <v>165</v>
      </c>
      <c r="B153" s="34" t="s">
        <v>160</v>
      </c>
      <c r="C153" s="35">
        <v>2</v>
      </c>
      <c r="D153" s="34">
        <v>27</v>
      </c>
      <c r="E153" s="35" t="s">
        <v>164</v>
      </c>
      <c r="F153">
        <v>19.115836000000005</v>
      </c>
    </row>
    <row r="154" spans="1:6" x14ac:dyDescent="0.2">
      <c r="A154" s="37" t="s">
        <v>165</v>
      </c>
      <c r="B154" s="34">
        <v>13</v>
      </c>
      <c r="C154" s="35">
        <v>2</v>
      </c>
      <c r="D154" s="34">
        <v>27</v>
      </c>
      <c r="E154" s="35" t="s">
        <v>164</v>
      </c>
      <c r="F154">
        <v>6.5297799999999988</v>
      </c>
    </row>
    <row r="155" spans="1:6" x14ac:dyDescent="0.2">
      <c r="A155" s="32" t="s">
        <v>165</v>
      </c>
      <c r="B155" s="34">
        <v>14</v>
      </c>
      <c r="C155" s="35">
        <v>2</v>
      </c>
      <c r="D155" s="34">
        <v>27</v>
      </c>
      <c r="E155" s="35" t="s">
        <v>164</v>
      </c>
      <c r="F155">
        <v>9.7945840000000022</v>
      </c>
    </row>
    <row r="156" spans="1:6" x14ac:dyDescent="0.2">
      <c r="A156" s="32" t="s">
        <v>165</v>
      </c>
      <c r="B156" s="34">
        <v>15</v>
      </c>
      <c r="C156" s="35">
        <v>2</v>
      </c>
      <c r="D156" s="34">
        <v>27</v>
      </c>
      <c r="E156" s="35" t="s">
        <v>164</v>
      </c>
      <c r="F156">
        <v>7.5707319999999942</v>
      </c>
    </row>
    <row r="157" spans="1:6" x14ac:dyDescent="0.2">
      <c r="A157" s="32" t="s">
        <v>165</v>
      </c>
      <c r="B157" s="34" t="s">
        <v>160</v>
      </c>
      <c r="C157" s="35">
        <v>2</v>
      </c>
      <c r="D157" s="34">
        <v>29.5</v>
      </c>
      <c r="E157" s="35" t="s">
        <v>163</v>
      </c>
      <c r="F157">
        <v>13.059388</v>
      </c>
    </row>
    <row r="158" spans="1:6" x14ac:dyDescent="0.2">
      <c r="A158" s="32" t="s">
        <v>165</v>
      </c>
      <c r="B158" s="34">
        <v>13</v>
      </c>
      <c r="C158" s="35">
        <v>2</v>
      </c>
      <c r="D158" s="34">
        <v>29.5</v>
      </c>
      <c r="E158" s="35" t="s">
        <v>163</v>
      </c>
      <c r="F158">
        <v>9.9365319999999961</v>
      </c>
    </row>
    <row r="159" spans="1:6" x14ac:dyDescent="0.2">
      <c r="A159" s="32" t="s">
        <v>165</v>
      </c>
      <c r="B159" s="34">
        <v>14</v>
      </c>
      <c r="C159" s="35">
        <v>2</v>
      </c>
      <c r="D159" s="34">
        <v>29.5</v>
      </c>
      <c r="E159" s="35" t="s">
        <v>163</v>
      </c>
      <c r="F159">
        <v>10.882851999999987</v>
      </c>
    </row>
    <row r="160" spans="1:6" x14ac:dyDescent="0.2">
      <c r="A160" s="37" t="s">
        <v>165</v>
      </c>
      <c r="B160" s="34">
        <v>15</v>
      </c>
      <c r="C160" s="35">
        <v>2</v>
      </c>
      <c r="D160" s="34">
        <v>29.5</v>
      </c>
      <c r="E160" s="35" t="s">
        <v>163</v>
      </c>
      <c r="F160">
        <v>4.3532440000000019</v>
      </c>
    </row>
    <row r="161" spans="1:6" x14ac:dyDescent="0.2">
      <c r="A161" s="32" t="s">
        <v>165</v>
      </c>
      <c r="B161" s="34" t="s">
        <v>160</v>
      </c>
      <c r="C161" s="35">
        <v>2</v>
      </c>
      <c r="D161" s="34">
        <v>29.5</v>
      </c>
      <c r="E161" s="35" t="s">
        <v>164</v>
      </c>
      <c r="F161">
        <v>9.3687399999999954</v>
      </c>
    </row>
    <row r="162" spans="1:6" x14ac:dyDescent="0.2">
      <c r="A162" s="32" t="s">
        <v>165</v>
      </c>
      <c r="B162" s="34">
        <v>13</v>
      </c>
      <c r="C162" s="35">
        <v>2</v>
      </c>
      <c r="D162" s="34">
        <v>29.5</v>
      </c>
      <c r="E162" s="35" t="s">
        <v>164</v>
      </c>
      <c r="F162">
        <v>13.579864000000006</v>
      </c>
    </row>
    <row r="163" spans="1:6" x14ac:dyDescent="0.2">
      <c r="A163" s="32" t="s">
        <v>165</v>
      </c>
      <c r="B163" s="34">
        <v>14</v>
      </c>
      <c r="C163" s="35">
        <v>2</v>
      </c>
      <c r="D163" s="34">
        <v>29.5</v>
      </c>
      <c r="E163" s="35" t="s">
        <v>164</v>
      </c>
      <c r="F163">
        <v>11.497960000000003</v>
      </c>
    </row>
    <row r="164" spans="1:6" x14ac:dyDescent="0.2">
      <c r="A164" s="32" t="s">
        <v>165</v>
      </c>
      <c r="B164" s="34">
        <v>15</v>
      </c>
      <c r="C164" s="35">
        <v>2</v>
      </c>
      <c r="D164" s="34">
        <v>29.5</v>
      </c>
      <c r="E164" s="35" t="s">
        <v>164</v>
      </c>
      <c r="F164">
        <v>8.3277880000000053</v>
      </c>
    </row>
    <row r="165" spans="1:6" x14ac:dyDescent="0.2">
      <c r="A165" s="32" t="s">
        <v>165</v>
      </c>
      <c r="B165" s="34" t="s">
        <v>160</v>
      </c>
      <c r="C165" s="35">
        <v>2</v>
      </c>
      <c r="D165" s="34">
        <v>32</v>
      </c>
      <c r="E165" s="35" t="s">
        <v>163</v>
      </c>
      <c r="F165">
        <v>4.4478759999999991</v>
      </c>
    </row>
    <row r="166" spans="1:6" x14ac:dyDescent="0.2">
      <c r="A166" s="37" t="s">
        <v>165</v>
      </c>
      <c r="B166" s="34">
        <v>13</v>
      </c>
      <c r="C166" s="35">
        <v>2</v>
      </c>
      <c r="D166" s="34">
        <v>32</v>
      </c>
      <c r="E166" s="35" t="s">
        <v>163</v>
      </c>
      <c r="F166">
        <v>8.7063160000000064</v>
      </c>
    </row>
    <row r="167" spans="1:6" x14ac:dyDescent="0.2">
      <c r="A167" s="37" t="s">
        <v>165</v>
      </c>
      <c r="B167" s="34">
        <v>14</v>
      </c>
      <c r="C167" s="35">
        <v>2</v>
      </c>
      <c r="D167" s="34">
        <v>32</v>
      </c>
      <c r="E167" s="35" t="s">
        <v>163</v>
      </c>
      <c r="F167">
        <v>4.8737200000000023</v>
      </c>
    </row>
    <row r="168" spans="1:6" x14ac:dyDescent="0.2">
      <c r="A168" s="32" t="s">
        <v>165</v>
      </c>
      <c r="B168" s="34">
        <v>15</v>
      </c>
      <c r="C168" s="35">
        <v>2</v>
      </c>
      <c r="D168" s="34">
        <v>32</v>
      </c>
      <c r="E168" s="35" t="s">
        <v>163</v>
      </c>
      <c r="F168">
        <v>10.173112000000001</v>
      </c>
    </row>
    <row r="169" spans="1:6" x14ac:dyDescent="0.2">
      <c r="A169" s="32" t="s">
        <v>165</v>
      </c>
      <c r="B169" s="34" t="s">
        <v>160</v>
      </c>
      <c r="C169" s="35">
        <v>2</v>
      </c>
      <c r="D169" s="34">
        <v>32</v>
      </c>
      <c r="E169" s="35" t="s">
        <v>164</v>
      </c>
      <c r="F169">
        <v>7.8073120000000102</v>
      </c>
    </row>
    <row r="170" spans="1:6" x14ac:dyDescent="0.2">
      <c r="A170" s="32" t="s">
        <v>165</v>
      </c>
      <c r="B170" s="34">
        <v>13</v>
      </c>
      <c r="C170" s="35">
        <v>2</v>
      </c>
      <c r="D170" s="34">
        <v>32</v>
      </c>
      <c r="E170" s="35" t="s">
        <v>164</v>
      </c>
      <c r="F170">
        <v>7.0975720000000049</v>
      </c>
    </row>
    <row r="171" spans="1:6" x14ac:dyDescent="0.2">
      <c r="A171" s="32" t="s">
        <v>165</v>
      </c>
      <c r="B171" s="34">
        <v>14</v>
      </c>
      <c r="C171" s="35">
        <v>2</v>
      </c>
      <c r="D171" s="34">
        <v>32</v>
      </c>
      <c r="E171" s="35" t="s">
        <v>164</v>
      </c>
      <c r="F171">
        <v>6.3878319999999977</v>
      </c>
    </row>
    <row r="172" spans="1:6" x14ac:dyDescent="0.2">
      <c r="A172" s="32" t="s">
        <v>165</v>
      </c>
      <c r="B172" s="34">
        <v>15</v>
      </c>
      <c r="C172" s="35">
        <v>2</v>
      </c>
      <c r="D172" s="34">
        <v>32</v>
      </c>
      <c r="E172" s="35" t="s">
        <v>164</v>
      </c>
      <c r="F172">
        <v>7.7126799999999989</v>
      </c>
    </row>
    <row r="173" spans="1:6" x14ac:dyDescent="0.2">
      <c r="A173" s="37" t="s">
        <v>165</v>
      </c>
      <c r="B173" s="34" t="s">
        <v>160</v>
      </c>
      <c r="C173" s="35">
        <v>2</v>
      </c>
      <c r="D173" s="34">
        <v>34.5</v>
      </c>
      <c r="E173" s="35" t="s">
        <v>163</v>
      </c>
      <c r="F173">
        <v>6.7663599999999988</v>
      </c>
    </row>
    <row r="174" spans="1:6" x14ac:dyDescent="0.2">
      <c r="A174" s="32" t="s">
        <v>165</v>
      </c>
      <c r="B174" s="34">
        <v>13</v>
      </c>
      <c r="C174" s="35">
        <v>2</v>
      </c>
      <c r="D174" s="34">
        <v>34.5</v>
      </c>
      <c r="E174" s="35" t="s">
        <v>163</v>
      </c>
      <c r="F174">
        <v>10.125796000000006</v>
      </c>
    </row>
    <row r="175" spans="1:6" x14ac:dyDescent="0.2">
      <c r="A175" s="32" t="s">
        <v>165</v>
      </c>
      <c r="B175" s="34">
        <v>14</v>
      </c>
      <c r="C175" s="35">
        <v>2</v>
      </c>
      <c r="D175" s="34">
        <v>34.5</v>
      </c>
      <c r="E175" s="35" t="s">
        <v>163</v>
      </c>
      <c r="F175">
        <v>6.3405159999999983</v>
      </c>
    </row>
    <row r="176" spans="1:6" x14ac:dyDescent="0.2">
      <c r="A176" s="32" t="s">
        <v>165</v>
      </c>
      <c r="B176" s="34">
        <v>15</v>
      </c>
      <c r="C176" s="35">
        <v>2</v>
      </c>
      <c r="D176" s="34">
        <v>34.5</v>
      </c>
      <c r="E176" s="35" t="s">
        <v>163</v>
      </c>
      <c r="F176">
        <v>7.0975719999999995</v>
      </c>
    </row>
    <row r="177" spans="1:6" x14ac:dyDescent="0.2">
      <c r="A177" s="32" t="s">
        <v>165</v>
      </c>
      <c r="B177" s="34" t="s">
        <v>160</v>
      </c>
      <c r="C177" s="35">
        <v>2</v>
      </c>
      <c r="D177" s="34">
        <v>34.5</v>
      </c>
      <c r="E177" s="35" t="s">
        <v>164</v>
      </c>
      <c r="F177">
        <v>10.457007999999991</v>
      </c>
    </row>
    <row r="178" spans="1:6" x14ac:dyDescent="0.2">
      <c r="A178" s="32" t="s">
        <v>165</v>
      </c>
      <c r="B178" s="34">
        <v>13</v>
      </c>
      <c r="C178" s="35">
        <v>2</v>
      </c>
      <c r="D178" s="34">
        <v>34.5</v>
      </c>
      <c r="E178" s="35" t="s">
        <v>164</v>
      </c>
      <c r="F178">
        <v>7.0975719999999942</v>
      </c>
    </row>
    <row r="179" spans="1:6" x14ac:dyDescent="0.2">
      <c r="A179" s="37" t="s">
        <v>165</v>
      </c>
      <c r="B179" s="34">
        <v>14</v>
      </c>
      <c r="C179" s="35">
        <v>2</v>
      </c>
      <c r="D179" s="34">
        <v>34.5</v>
      </c>
      <c r="E179" s="35" t="s">
        <v>164</v>
      </c>
      <c r="F179">
        <v>16.655403999999979</v>
      </c>
    </row>
    <row r="180" spans="1:6" x14ac:dyDescent="0.2">
      <c r="A180" s="37" t="s">
        <v>165</v>
      </c>
      <c r="B180" s="34">
        <v>15</v>
      </c>
      <c r="C180" s="35">
        <v>2</v>
      </c>
      <c r="D180" s="34">
        <v>34.5</v>
      </c>
      <c r="E180" s="35" t="s">
        <v>164</v>
      </c>
      <c r="F180">
        <v>9.8892160000000011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Master_resp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R. Evensen</dc:creator>
  <cp:lastModifiedBy>Nicolas R. Evensen</cp:lastModifiedBy>
  <dcterms:created xsi:type="dcterms:W3CDTF">2019-09-27T15:03:03Z</dcterms:created>
  <dcterms:modified xsi:type="dcterms:W3CDTF">2019-12-09T16:50:43Z</dcterms:modified>
</cp:coreProperties>
</file>