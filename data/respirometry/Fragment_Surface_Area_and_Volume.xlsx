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rk\OneDrive\Documents\Barshis_Lab\Field_Work\2023-March-April_American-Samoa\data\respirometry\"/>
    </mc:Choice>
  </mc:AlternateContent>
  <xr:revisionPtr revIDLastSave="0" documentId="13_ncr:1_{83307734-82F1-4FD9-9D9A-9552FAE7E32E}" xr6:coauthVersionLast="47" xr6:coauthVersionMax="47" xr10:uidLastSave="{00000000-0000-0000-0000-000000000000}"/>
  <bookViews>
    <workbookView xWindow="-120" yWindow="-120" windowWidth="29040" windowHeight="17520" xr2:uid="{9021C3D7-74DC-4965-ADF5-F50A19582A88}"/>
  </bookViews>
  <sheets>
    <sheet name="MasterSheet" sheetId="2" r:id="rId1"/>
    <sheet name="Calcul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" i="2"/>
  <c r="C28" i="1"/>
  <c r="C27" i="1"/>
  <c r="D4" i="1"/>
  <c r="D3" i="1"/>
  <c r="D2" i="1"/>
  <c r="F2" i="1" s="1"/>
  <c r="C16" i="1" l="1"/>
  <c r="C23" i="1"/>
  <c r="C25" i="1"/>
  <c r="C22" i="1"/>
  <c r="F3" i="1"/>
  <c r="C21" i="1"/>
  <c r="C13" i="1"/>
  <c r="C24" i="1"/>
  <c r="C26" i="1"/>
  <c r="C14" i="1"/>
  <c r="C20" i="1"/>
  <c r="C9" i="1"/>
  <c r="C17" i="1"/>
  <c r="C12" i="1"/>
  <c r="C15" i="1"/>
  <c r="C10" i="1"/>
  <c r="C19" i="1"/>
  <c r="C11" i="1"/>
  <c r="C18" i="1"/>
  <c r="C8" i="1"/>
</calcChain>
</file>

<file path=xl/sharedStrings.xml><?xml version="1.0" encoding="utf-8"?>
<sst xmlns="http://schemas.openxmlformats.org/spreadsheetml/2006/main" count="103" uniqueCount="50">
  <si>
    <t>std</t>
  </si>
  <si>
    <t>Foil Standard</t>
  </si>
  <si>
    <t>Weight (g)</t>
  </si>
  <si>
    <t>Sample</t>
  </si>
  <si>
    <t>Foil Weight</t>
  </si>
  <si>
    <t>Deep_06</t>
  </si>
  <si>
    <t>Deep_01</t>
  </si>
  <si>
    <t>Deep_04</t>
  </si>
  <si>
    <t>Deep_03</t>
  </si>
  <si>
    <t>Deep_05</t>
  </si>
  <si>
    <t>Deep_02</t>
  </si>
  <si>
    <t>Deep_07</t>
  </si>
  <si>
    <t>Midd_02</t>
  </si>
  <si>
    <t>Midd_04</t>
  </si>
  <si>
    <t>Midd_05</t>
  </si>
  <si>
    <t>Midd_01</t>
  </si>
  <si>
    <t>Midd_03</t>
  </si>
  <si>
    <t>Midd_06</t>
  </si>
  <si>
    <t>Shall_01</t>
  </si>
  <si>
    <t>Shall_06</t>
  </si>
  <si>
    <t>Shall_03</t>
  </si>
  <si>
    <t>Shall_05</t>
  </si>
  <si>
    <t>Shall_02</t>
  </si>
  <si>
    <t>Shall_04</t>
  </si>
  <si>
    <t>Depth</t>
  </si>
  <si>
    <t>Deep</t>
  </si>
  <si>
    <t>Midd</t>
  </si>
  <si>
    <t>Shall</t>
  </si>
  <si>
    <t>Genotype</t>
  </si>
  <si>
    <t>Gen01</t>
  </si>
  <si>
    <t>Gen02</t>
  </si>
  <si>
    <t>Gen03</t>
  </si>
  <si>
    <t>Gen04</t>
  </si>
  <si>
    <t>Gen05</t>
  </si>
  <si>
    <t>Gen06</t>
  </si>
  <si>
    <t>Gen07</t>
  </si>
  <si>
    <t>Shall_Blank</t>
  </si>
  <si>
    <t>Midd_Blank</t>
  </si>
  <si>
    <t>Deep_Blank</t>
  </si>
  <si>
    <t>Gen08</t>
  </si>
  <si>
    <t>g/cm2</t>
  </si>
  <si>
    <t>mean(g/cm2)</t>
  </si>
  <si>
    <t>cm2</t>
  </si>
  <si>
    <t xml:space="preserve">Average: </t>
  </si>
  <si>
    <t>Surface area (cm2)</t>
  </si>
  <si>
    <t>STD:</t>
  </si>
  <si>
    <t>SA(cm2)</t>
  </si>
  <si>
    <t>SA(m2)</t>
  </si>
  <si>
    <t>Buoyant_Weight(g)</t>
  </si>
  <si>
    <t>effective_volume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</si>
</sst>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72CA-5C65-40AB-91E7-BF50853B35EC}">
  <dimension ref="A1:G23"/>
  <sheetViews>
    <sheetView tabSelected="1" workbookViewId="0">
      <selection activeCell="L21" sqref="L21"/>
    </sheetView>
  </sheetViews>
  <sheetFormatPr defaultRowHeight="15" x14ac:dyDescent="0.25"/>
  <cols>
    <col min="1" max="3" width="10.5703125" customWidth="1"/>
    <col min="4" max="4" width="18.140625" customWidth="1"/>
    <col min="6" max="6" width="21.7109375" customWidth="1"/>
    <col min="7" max="7" width="25.140625" customWidth="1"/>
  </cols>
  <sheetData>
    <row r="1" spans="1:7" x14ac:dyDescent="0.25">
      <c r="A1" t="s">
        <v>3</v>
      </c>
      <c r="B1" t="s">
        <v>24</v>
      </c>
      <c r="C1" t="s">
        <v>28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5">
      <c r="A2" t="s">
        <v>6</v>
      </c>
      <c r="B2" t="s">
        <v>25</v>
      </c>
      <c r="C2" t="s">
        <v>29</v>
      </c>
      <c r="D2">
        <v>2.4784747847478501</v>
      </c>
      <c r="E2">
        <f>D2/10000</f>
        <v>2.4784747847478501E-4</v>
      </c>
      <c r="F2">
        <v>14.17</v>
      </c>
      <c r="G2">
        <f>(154.4 - (F2 / 1.025)) / 1000</f>
        <v>0.14057560975609756</v>
      </c>
    </row>
    <row r="3" spans="1:7" x14ac:dyDescent="0.25">
      <c r="A3" t="s">
        <v>10</v>
      </c>
      <c r="B3" t="s">
        <v>25</v>
      </c>
      <c r="C3" t="s">
        <v>30</v>
      </c>
      <c r="D3">
        <v>1.5179669653839398</v>
      </c>
      <c r="E3">
        <f t="shared" ref="E3:E23" si="0">D3/10000</f>
        <v>1.5179669653839399E-4</v>
      </c>
      <c r="F3">
        <v>10.65</v>
      </c>
      <c r="G3">
        <f t="shared" ref="G3:G23" si="1">(154.4 - (F3 / 1.025)) / 1000</f>
        <v>0.14400975609756098</v>
      </c>
    </row>
    <row r="4" spans="1:7" x14ac:dyDescent="0.25">
      <c r="A4" t="s">
        <v>8</v>
      </c>
      <c r="B4" t="s">
        <v>25</v>
      </c>
      <c r="C4" t="s">
        <v>31</v>
      </c>
      <c r="D4">
        <v>1.5610173958882447</v>
      </c>
      <c r="E4">
        <f t="shared" si="0"/>
        <v>1.5610173958882447E-4</v>
      </c>
      <c r="F4">
        <v>8.34</v>
      </c>
      <c r="G4">
        <f t="shared" si="1"/>
        <v>0.14626341463414635</v>
      </c>
    </row>
    <row r="5" spans="1:7" x14ac:dyDescent="0.25">
      <c r="A5" t="s">
        <v>7</v>
      </c>
      <c r="B5" t="s">
        <v>25</v>
      </c>
      <c r="C5" t="s">
        <v>32</v>
      </c>
      <c r="D5">
        <v>1.6012124406958359</v>
      </c>
      <c r="E5">
        <f t="shared" si="0"/>
        <v>1.601212440695836E-4</v>
      </c>
      <c r="F5">
        <v>4.47</v>
      </c>
      <c r="G5">
        <f t="shared" si="1"/>
        <v>0.15003902439024389</v>
      </c>
    </row>
    <row r="6" spans="1:7" x14ac:dyDescent="0.25">
      <c r="A6" t="s">
        <v>9</v>
      </c>
      <c r="B6" t="s">
        <v>25</v>
      </c>
      <c r="C6" t="s">
        <v>33</v>
      </c>
      <c r="D6">
        <v>1.6007731505886491</v>
      </c>
      <c r="E6">
        <f t="shared" si="0"/>
        <v>1.6007731505886491E-4</v>
      </c>
      <c r="F6">
        <v>8.23</v>
      </c>
      <c r="G6">
        <f t="shared" si="1"/>
        <v>0.14637073170731707</v>
      </c>
    </row>
    <row r="7" spans="1:7" x14ac:dyDescent="0.25">
      <c r="A7" t="s">
        <v>5</v>
      </c>
      <c r="B7" t="s">
        <v>25</v>
      </c>
      <c r="C7" t="s">
        <v>34</v>
      </c>
      <c r="D7">
        <v>2.0040414689861188</v>
      </c>
      <c r="E7">
        <f t="shared" si="0"/>
        <v>2.0040414689861187E-4</v>
      </c>
      <c r="F7">
        <v>8.0299999999999994</v>
      </c>
      <c r="G7">
        <f t="shared" si="1"/>
        <v>0.14656585365853658</v>
      </c>
    </row>
    <row r="8" spans="1:7" x14ac:dyDescent="0.25">
      <c r="A8" t="s">
        <v>11</v>
      </c>
      <c r="B8" t="s">
        <v>25</v>
      </c>
      <c r="C8" t="s">
        <v>35</v>
      </c>
      <c r="D8">
        <v>2.4791337199086279</v>
      </c>
      <c r="E8">
        <f t="shared" si="0"/>
        <v>2.4791337199086281E-4</v>
      </c>
      <c r="F8">
        <v>9.67</v>
      </c>
      <c r="G8">
        <f t="shared" si="1"/>
        <v>0.14496585365853659</v>
      </c>
    </row>
    <row r="9" spans="1:7" x14ac:dyDescent="0.25">
      <c r="A9" t="s">
        <v>38</v>
      </c>
      <c r="B9" t="s">
        <v>25</v>
      </c>
      <c r="C9" t="s">
        <v>39</v>
      </c>
      <c r="D9">
        <v>0</v>
      </c>
      <c r="E9">
        <f t="shared" si="0"/>
        <v>0</v>
      </c>
      <c r="F9">
        <v>0</v>
      </c>
      <c r="G9">
        <f t="shared" si="1"/>
        <v>0.15440000000000001</v>
      </c>
    </row>
    <row r="10" spans="1:7" x14ac:dyDescent="0.25">
      <c r="A10" t="s">
        <v>15</v>
      </c>
      <c r="B10" t="s">
        <v>26</v>
      </c>
      <c r="C10" t="s">
        <v>29</v>
      </c>
      <c r="D10">
        <v>2.2206114918292044</v>
      </c>
      <c r="E10">
        <f t="shared" si="0"/>
        <v>2.2206114918292043E-4</v>
      </c>
      <c r="F10">
        <v>12.09</v>
      </c>
      <c r="G10">
        <f t="shared" si="1"/>
        <v>0.1426048780487805</v>
      </c>
    </row>
    <row r="11" spans="1:7" x14ac:dyDescent="0.25">
      <c r="A11" t="s">
        <v>12</v>
      </c>
      <c r="B11" t="s">
        <v>26</v>
      </c>
      <c r="C11" t="s">
        <v>30</v>
      </c>
      <c r="D11">
        <v>2.5654542259708317</v>
      </c>
      <c r="E11">
        <f t="shared" si="0"/>
        <v>2.5654542259708315E-4</v>
      </c>
      <c r="F11">
        <v>12.36</v>
      </c>
      <c r="G11">
        <f t="shared" si="1"/>
        <v>0.14234146341463416</v>
      </c>
    </row>
    <row r="12" spans="1:7" x14ac:dyDescent="0.25">
      <c r="A12" t="s">
        <v>16</v>
      </c>
      <c r="B12" t="s">
        <v>26</v>
      </c>
      <c r="C12" t="s">
        <v>31</v>
      </c>
      <c r="D12">
        <v>2.491214197856265</v>
      </c>
      <c r="E12">
        <f t="shared" si="0"/>
        <v>2.491214197856265E-4</v>
      </c>
      <c r="F12">
        <v>6.84</v>
      </c>
      <c r="G12">
        <f t="shared" si="1"/>
        <v>0.14772682926829267</v>
      </c>
    </row>
    <row r="13" spans="1:7" x14ac:dyDescent="0.25">
      <c r="A13" t="s">
        <v>13</v>
      </c>
      <c r="B13" t="s">
        <v>26</v>
      </c>
      <c r="C13" t="s">
        <v>32</v>
      </c>
      <c r="D13">
        <v>2.0826743981725535</v>
      </c>
      <c r="E13">
        <f t="shared" si="0"/>
        <v>2.0826743981725536E-4</v>
      </c>
      <c r="F13">
        <v>7.55</v>
      </c>
      <c r="G13">
        <f t="shared" si="1"/>
        <v>0.14703414634146342</v>
      </c>
    </row>
    <row r="14" spans="1:7" x14ac:dyDescent="0.25">
      <c r="A14" t="s">
        <v>14</v>
      </c>
      <c r="B14" t="s">
        <v>26</v>
      </c>
      <c r="C14" t="s">
        <v>33</v>
      </c>
      <c r="D14">
        <v>1.6071428571428574</v>
      </c>
      <c r="E14">
        <f t="shared" si="0"/>
        <v>1.6071428571428573E-4</v>
      </c>
      <c r="F14">
        <v>6.81</v>
      </c>
      <c r="G14">
        <f t="shared" si="1"/>
        <v>0.1477560975609756</v>
      </c>
    </row>
    <row r="15" spans="1:7" x14ac:dyDescent="0.25">
      <c r="A15" t="s">
        <v>17</v>
      </c>
      <c r="B15" t="s">
        <v>26</v>
      </c>
      <c r="C15" t="s">
        <v>34</v>
      </c>
      <c r="D15">
        <v>2.2476278334211917</v>
      </c>
      <c r="E15">
        <f t="shared" si="0"/>
        <v>2.2476278334211916E-4</v>
      </c>
      <c r="F15">
        <v>9.09</v>
      </c>
      <c r="G15">
        <f t="shared" si="1"/>
        <v>0.14553170731707318</v>
      </c>
    </row>
    <row r="16" spans="1:7" x14ac:dyDescent="0.25">
      <c r="A16" t="s">
        <v>37</v>
      </c>
      <c r="B16" t="s">
        <v>26</v>
      </c>
      <c r="C16" t="s">
        <v>35</v>
      </c>
      <c r="D16">
        <v>0</v>
      </c>
      <c r="E16">
        <f t="shared" si="0"/>
        <v>0</v>
      </c>
      <c r="F16">
        <v>0</v>
      </c>
      <c r="G16">
        <f t="shared" si="1"/>
        <v>0.15440000000000001</v>
      </c>
    </row>
    <row r="17" spans="1:7" x14ac:dyDescent="0.25">
      <c r="A17" t="s">
        <v>18</v>
      </c>
      <c r="B17" t="s">
        <v>27</v>
      </c>
      <c r="C17" t="s">
        <v>29</v>
      </c>
      <c r="D17">
        <v>2.4486030574591462</v>
      </c>
      <c r="E17">
        <f t="shared" si="0"/>
        <v>2.448603057459146E-4</v>
      </c>
      <c r="F17">
        <v>9.6300000000000008</v>
      </c>
      <c r="G17">
        <f t="shared" si="1"/>
        <v>0.14500487804878048</v>
      </c>
    </row>
    <row r="18" spans="1:7" x14ac:dyDescent="0.25">
      <c r="A18" t="s">
        <v>22</v>
      </c>
      <c r="B18" t="s">
        <v>27</v>
      </c>
      <c r="C18" t="s">
        <v>30</v>
      </c>
      <c r="D18">
        <v>1.488973818309612</v>
      </c>
      <c r="E18">
        <f t="shared" si="0"/>
        <v>1.4889738183096118E-4</v>
      </c>
      <c r="F18">
        <v>5.28</v>
      </c>
      <c r="G18">
        <f t="shared" si="1"/>
        <v>0.14924878048780488</v>
      </c>
    </row>
    <row r="19" spans="1:7" x14ac:dyDescent="0.25">
      <c r="A19" t="s">
        <v>20</v>
      </c>
      <c r="B19" t="s">
        <v>27</v>
      </c>
      <c r="C19" t="s">
        <v>31</v>
      </c>
      <c r="D19">
        <v>2.2228079423651383</v>
      </c>
      <c r="E19">
        <f t="shared" si="0"/>
        <v>2.2228079423651384E-4</v>
      </c>
      <c r="F19">
        <v>7.66</v>
      </c>
      <c r="G19">
        <f t="shared" si="1"/>
        <v>0.1469268292682927</v>
      </c>
    </row>
    <row r="20" spans="1:7" x14ac:dyDescent="0.25">
      <c r="A20" t="s">
        <v>23</v>
      </c>
      <c r="B20" t="s">
        <v>27</v>
      </c>
      <c r="C20" t="s">
        <v>32</v>
      </c>
      <c r="D20">
        <v>2.5294324371815149</v>
      </c>
      <c r="E20">
        <f t="shared" si="0"/>
        <v>2.529432437181515E-4</v>
      </c>
      <c r="F20">
        <v>12.82</v>
      </c>
      <c r="G20">
        <f t="shared" si="1"/>
        <v>0.14189268292682927</v>
      </c>
    </row>
    <row r="21" spans="1:7" x14ac:dyDescent="0.25">
      <c r="A21" t="s">
        <v>21</v>
      </c>
      <c r="B21" t="s">
        <v>27</v>
      </c>
      <c r="C21" t="s">
        <v>33</v>
      </c>
      <c r="D21">
        <v>1.8516078017923039</v>
      </c>
      <c r="E21">
        <f t="shared" si="0"/>
        <v>1.8516078017923038E-4</v>
      </c>
      <c r="F21">
        <v>10</v>
      </c>
      <c r="G21">
        <f t="shared" si="1"/>
        <v>0.14464390243902439</v>
      </c>
    </row>
    <row r="22" spans="1:7" x14ac:dyDescent="0.25">
      <c r="A22" t="s">
        <v>19</v>
      </c>
      <c r="B22" t="s">
        <v>27</v>
      </c>
      <c r="C22" t="s">
        <v>34</v>
      </c>
      <c r="D22">
        <v>3.2322966086803735</v>
      </c>
      <c r="E22">
        <f t="shared" si="0"/>
        <v>3.2322966086803734E-4</v>
      </c>
      <c r="F22">
        <v>11.76</v>
      </c>
      <c r="G22">
        <f t="shared" si="1"/>
        <v>0.1429268292682927</v>
      </c>
    </row>
    <row r="23" spans="1:7" x14ac:dyDescent="0.25">
      <c r="A23" t="s">
        <v>36</v>
      </c>
      <c r="B23" t="s">
        <v>27</v>
      </c>
      <c r="C23" t="s">
        <v>35</v>
      </c>
      <c r="D23">
        <v>0</v>
      </c>
      <c r="E23">
        <f t="shared" si="0"/>
        <v>0</v>
      </c>
      <c r="F23">
        <v>0</v>
      </c>
      <c r="G23">
        <f t="shared" si="1"/>
        <v>0.15440000000000001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5095-6167-4A6A-9415-7C3572732834}">
  <dimension ref="A1:F28"/>
  <sheetViews>
    <sheetView topLeftCell="A7" workbookViewId="0">
      <selection activeCell="G12" sqref="G12"/>
    </sheetView>
  </sheetViews>
  <sheetFormatPr defaultRowHeight="15" x14ac:dyDescent="0.25"/>
  <cols>
    <col min="1" max="1" width="14" customWidth="1"/>
    <col min="2" max="2" width="12.140625" customWidth="1"/>
    <col min="3" max="3" width="19.28515625" customWidth="1"/>
    <col min="4" max="4" width="20.42578125" customWidth="1"/>
    <col min="5" max="5" width="13.140625" customWidth="1"/>
  </cols>
  <sheetData>
    <row r="1" spans="1:6" x14ac:dyDescent="0.25">
      <c r="A1" t="s">
        <v>1</v>
      </c>
      <c r="B1" t="s">
        <v>2</v>
      </c>
      <c r="C1" t="s">
        <v>42</v>
      </c>
      <c r="D1" t="s">
        <v>40</v>
      </c>
    </row>
    <row r="2" spans="1:6" x14ac:dyDescent="0.25">
      <c r="A2">
        <v>1</v>
      </c>
      <c r="B2">
        <v>0.45815</v>
      </c>
      <c r="C2">
        <v>100</v>
      </c>
      <c r="D2">
        <f>B2/100</f>
        <v>4.5814999999999996E-3</v>
      </c>
      <c r="E2" t="s">
        <v>41</v>
      </c>
      <c r="F2">
        <f>AVERAGE(D2:D4)</f>
        <v>4.5528000000000001E-3</v>
      </c>
    </row>
    <row r="3" spans="1:6" x14ac:dyDescent="0.25">
      <c r="A3">
        <v>2</v>
      </c>
      <c r="B3">
        <v>0.45656999999999998</v>
      </c>
      <c r="C3">
        <v>100</v>
      </c>
      <c r="D3">
        <f>B3/100</f>
        <v>4.5656999999999998E-3</v>
      </c>
      <c r="E3" t="s">
        <v>0</v>
      </c>
      <c r="F3">
        <f>_xlfn.STDEV.P(D2:D4)</f>
        <v>3.0114559048185644E-5</v>
      </c>
    </row>
    <row r="4" spans="1:6" x14ac:dyDescent="0.25">
      <c r="A4">
        <v>3</v>
      </c>
      <c r="B4">
        <v>0.45112000000000002</v>
      </c>
      <c r="C4">
        <v>100</v>
      </c>
      <c r="D4">
        <f>B4/100</f>
        <v>4.5111999999999999E-3</v>
      </c>
    </row>
    <row r="7" spans="1:6" x14ac:dyDescent="0.25">
      <c r="A7" t="s">
        <v>3</v>
      </c>
      <c r="B7" t="s">
        <v>4</v>
      </c>
      <c r="C7" t="s">
        <v>44</v>
      </c>
    </row>
    <row r="8" spans="1:6" x14ac:dyDescent="0.25">
      <c r="A8" t="s">
        <v>6</v>
      </c>
      <c r="B8">
        <v>0.11284</v>
      </c>
      <c r="C8">
        <f t="shared" ref="C8:C26" si="0">B8/$F$2</f>
        <v>24.784747847478474</v>
      </c>
    </row>
    <row r="9" spans="1:6" x14ac:dyDescent="0.25">
      <c r="A9" t="s">
        <v>10</v>
      </c>
      <c r="B9">
        <v>6.9110000000000005E-2</v>
      </c>
      <c r="C9">
        <f t="shared" si="0"/>
        <v>15.179669653839396</v>
      </c>
    </row>
    <row r="10" spans="1:6" x14ac:dyDescent="0.25">
      <c r="A10" t="s">
        <v>8</v>
      </c>
      <c r="B10">
        <v>7.1069999999999994E-2</v>
      </c>
      <c r="C10">
        <f t="shared" si="0"/>
        <v>15.610173958882445</v>
      </c>
    </row>
    <row r="11" spans="1:6" x14ac:dyDescent="0.25">
      <c r="A11" t="s">
        <v>7</v>
      </c>
      <c r="B11">
        <v>7.2900000000000006E-2</v>
      </c>
      <c r="C11">
        <f t="shared" si="0"/>
        <v>16.012124406958357</v>
      </c>
    </row>
    <row r="12" spans="1:6" x14ac:dyDescent="0.25">
      <c r="A12" t="s">
        <v>9</v>
      </c>
      <c r="B12">
        <v>7.288E-2</v>
      </c>
      <c r="C12">
        <f t="shared" si="0"/>
        <v>16.007731505886486</v>
      </c>
    </row>
    <row r="13" spans="1:6" x14ac:dyDescent="0.25">
      <c r="A13" t="s">
        <v>5</v>
      </c>
      <c r="B13">
        <v>9.1240000000000002E-2</v>
      </c>
      <c r="C13">
        <f t="shared" si="0"/>
        <v>20.040414689861183</v>
      </c>
    </row>
    <row r="14" spans="1:6" x14ac:dyDescent="0.25">
      <c r="A14" t="s">
        <v>11</v>
      </c>
      <c r="B14">
        <v>0.11287</v>
      </c>
      <c r="C14">
        <f t="shared" si="0"/>
        <v>24.791337199086275</v>
      </c>
    </row>
    <row r="15" spans="1:6" x14ac:dyDescent="0.25">
      <c r="A15" t="s">
        <v>15</v>
      </c>
      <c r="B15">
        <v>0.1011</v>
      </c>
      <c r="C15">
        <f t="shared" si="0"/>
        <v>22.206114918292037</v>
      </c>
    </row>
    <row r="16" spans="1:6" x14ac:dyDescent="0.25">
      <c r="A16" t="s">
        <v>12</v>
      </c>
      <c r="B16">
        <v>0.1168</v>
      </c>
      <c r="C16">
        <f t="shared" si="0"/>
        <v>25.654542259708311</v>
      </c>
    </row>
    <row r="17" spans="1:3" x14ac:dyDescent="0.25">
      <c r="A17" t="s">
        <v>16</v>
      </c>
      <c r="B17">
        <v>0.11342000000000001</v>
      </c>
      <c r="C17">
        <f t="shared" si="0"/>
        <v>24.912141978562644</v>
      </c>
    </row>
    <row r="18" spans="1:3" x14ac:dyDescent="0.25">
      <c r="A18" t="s">
        <v>13</v>
      </c>
      <c r="B18">
        <v>9.4820000000000002E-2</v>
      </c>
      <c r="C18">
        <f t="shared" si="0"/>
        <v>20.826743981725532</v>
      </c>
    </row>
    <row r="19" spans="1:3" x14ac:dyDescent="0.25">
      <c r="A19" t="s">
        <v>14</v>
      </c>
      <c r="B19">
        <v>7.3169999999999999E-2</v>
      </c>
      <c r="C19">
        <f t="shared" si="0"/>
        <v>16.071428571428569</v>
      </c>
    </row>
    <row r="20" spans="1:3" x14ac:dyDescent="0.25">
      <c r="A20" t="s">
        <v>17</v>
      </c>
      <c r="B20">
        <v>0.10233</v>
      </c>
      <c r="C20">
        <f t="shared" si="0"/>
        <v>22.476278334211916</v>
      </c>
    </row>
    <row r="21" spans="1:3" x14ac:dyDescent="0.25">
      <c r="A21" t="s">
        <v>18</v>
      </c>
      <c r="B21">
        <v>0.11148</v>
      </c>
      <c r="C21">
        <f t="shared" si="0"/>
        <v>24.48603057459146</v>
      </c>
    </row>
    <row r="22" spans="1:3" x14ac:dyDescent="0.25">
      <c r="A22" t="s">
        <v>22</v>
      </c>
      <c r="B22">
        <v>6.7790000000000003E-2</v>
      </c>
      <c r="C22">
        <f t="shared" si="0"/>
        <v>14.889738183096117</v>
      </c>
    </row>
    <row r="23" spans="1:3" x14ac:dyDescent="0.25">
      <c r="A23" t="s">
        <v>20</v>
      </c>
      <c r="B23">
        <v>0.1012</v>
      </c>
      <c r="C23">
        <f t="shared" si="0"/>
        <v>22.22807942365138</v>
      </c>
    </row>
    <row r="24" spans="1:3" x14ac:dyDescent="0.25">
      <c r="A24" t="s">
        <v>23</v>
      </c>
      <c r="B24">
        <v>0.11516</v>
      </c>
      <c r="C24">
        <f t="shared" si="0"/>
        <v>25.294324371815147</v>
      </c>
    </row>
    <row r="25" spans="1:3" x14ac:dyDescent="0.25">
      <c r="A25" t="s">
        <v>21</v>
      </c>
      <c r="B25">
        <v>8.43E-2</v>
      </c>
      <c r="C25">
        <f t="shared" si="0"/>
        <v>18.516078017923036</v>
      </c>
    </row>
    <row r="26" spans="1:3" x14ac:dyDescent="0.25">
      <c r="A26" t="s">
        <v>19</v>
      </c>
      <c r="B26">
        <v>0.14716000000000001</v>
      </c>
      <c r="C26">
        <f t="shared" si="0"/>
        <v>32.322966086803724</v>
      </c>
    </row>
    <row r="27" spans="1:3" x14ac:dyDescent="0.25">
      <c r="B27" s="1" t="s">
        <v>43</v>
      </c>
      <c r="C27">
        <f>AVERAGE(C8:C26)</f>
        <v>21.174245577042232</v>
      </c>
    </row>
    <row r="28" spans="1:3" x14ac:dyDescent="0.25">
      <c r="B28" s="1" t="s">
        <v>45</v>
      </c>
      <c r="C28">
        <f>_xlfn.STDEV.P(C8:C27)</f>
        <v>4.5305171292409749</v>
      </c>
    </row>
  </sheetData>
  <sortState xmlns:xlrd2="http://schemas.microsoft.com/office/spreadsheetml/2017/richdata2" ref="A8:C26">
    <sortCondition ref="A8:A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KATIE</dc:creator>
  <cp:lastModifiedBy>PARKER, KATIE</cp:lastModifiedBy>
  <dcterms:created xsi:type="dcterms:W3CDTF">2025-07-08T16:51:35Z</dcterms:created>
  <dcterms:modified xsi:type="dcterms:W3CDTF">2025-11-20T21:51:31Z</dcterms:modified>
</cp:coreProperties>
</file>