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Field_Work/2023-AS-March-April_American-Samoa/data/Ch2/respirometry/sandbox/"/>
    </mc:Choice>
  </mc:AlternateContent>
  <xr:revisionPtr revIDLastSave="0" documentId="8_{07ECBA38-3537-4F1E-85B3-126407F7BBC5}" xr6:coauthVersionLast="47" xr6:coauthVersionMax="47" xr10:uidLastSave="{00000000-0000-0000-0000-000000000000}"/>
  <bookViews>
    <workbookView xWindow="-108" yWindow="-108" windowWidth="23256" windowHeight="12456"/>
  </bookViews>
  <sheets>
    <sheet name="2023-04-02_Deep_Extra_Test_Run_" sheetId="1" r:id="rId1"/>
  </sheets>
  <calcPr calcId="0"/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2" i="1"/>
</calcChain>
</file>

<file path=xl/sharedStrings.xml><?xml version="1.0" encoding="utf-8"?>
<sst xmlns="http://schemas.openxmlformats.org/spreadsheetml/2006/main" count="31" uniqueCount="22">
  <si>
    <t>Chamber</t>
  </si>
  <si>
    <t>Time</t>
  </si>
  <si>
    <t>Logtime_min</t>
  </si>
  <si>
    <t>OxyPercent_airsat</t>
  </si>
  <si>
    <t>Phase</t>
  </si>
  <si>
    <t>Amp</t>
  </si>
  <si>
    <t>TempC</t>
  </si>
  <si>
    <t>per_air-sat</t>
  </si>
  <si>
    <t>per_oxygen</t>
  </si>
  <si>
    <t>pO2_hPa</t>
  </si>
  <si>
    <t>pO2_Torr</t>
  </si>
  <si>
    <t>cO2_mg_L</t>
  </si>
  <si>
    <t>cO2_umol_L</t>
  </si>
  <si>
    <t>SalCorcO2_mg_L</t>
  </si>
  <si>
    <t>SalCorcO2_umol_L</t>
  </si>
  <si>
    <t>% air-sat.</t>
  </si>
  <si>
    <t>% oxygen</t>
  </si>
  <si>
    <t>pO2 (hPa)</t>
  </si>
  <si>
    <t>pO2 (Torr)</t>
  </si>
  <si>
    <t>cO2 [mg/L]</t>
  </si>
  <si>
    <t>cO2 [µmol/L]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</si>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</sst>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1" fontId="0" fillId="0" borderId="0" xfId="0" applyNumberFormat="1"/>
    <xf numFmtId="168" fontId="0" fillId="0" borderId="10" xfId="0" applyNumberFormat="1" applyBorder="1"/>
    <xf numFmtId="168" fontId="18" fillId="0" borderId="11" xfId="0" applyNumberFormat="1" applyFont="1" applyBorder="1"/>
    <xf numFmtId="168" fontId="20" fillId="0" borderId="12" xfId="0" applyNumberFormat="1" applyFont="1" applyBorder="1"/>
    <xf numFmtId="168" fontId="18" fillId="0" borderId="0" xfId="0" applyNumberFormat="1" applyFont="1"/>
    <xf numFmtId="168" fontId="16" fillId="0" borderId="12" xfId="0" applyNumberFormat="1" applyFont="1" applyBorder="1"/>
    <xf numFmtId="168" fontId="0" fillId="0" borderId="13" xfId="0" applyNumberFormat="1" applyBorder="1"/>
    <xf numFmtId="168" fontId="18" fillId="0" borderId="0" xfId="0" applyNumberFormat="1" applyFont="1" applyBorder="1"/>
    <xf numFmtId="168" fontId="19" fillId="0" borderId="14" xfId="0" applyNumberFormat="1" applyFont="1" applyBorder="1"/>
    <xf numFmtId="168" fontId="0" fillId="0" borderId="14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2"/>
  <sheetViews>
    <sheetView tabSelected="1" workbookViewId="0">
      <selection activeCell="P53" sqref="P53"/>
    </sheetView>
  </sheetViews>
  <sheetFormatPr defaultRowHeight="14.4" x14ac:dyDescent="0.3"/>
  <cols>
    <col min="8" max="8" width="9.5546875" style="7" bestFit="1" customWidth="1"/>
    <col min="9" max="9" width="9.5546875" style="8" bestFit="1" customWidth="1"/>
    <col min="10" max="10" width="11.6640625" style="9" customWidth="1"/>
    <col min="11" max="11" width="9.5546875" style="7" bestFit="1" customWidth="1"/>
    <col min="12" max="12" width="9.5546875" style="5" bestFit="1" customWidth="1"/>
    <col min="13" max="13" width="11.6640625" style="9" customWidth="1"/>
    <col min="14" max="14" width="10.5546875" style="7" bestFit="1" customWidth="1"/>
    <col min="15" max="15" width="10.5546875" style="5" bestFit="1" customWidth="1"/>
    <col min="16" max="16" width="11.6640625" style="9" customWidth="1"/>
    <col min="17" max="17" width="10.5546875" style="7" bestFit="1" customWidth="1"/>
    <col min="18" max="18" width="10.5546875" style="5" bestFit="1" customWidth="1"/>
    <col min="19" max="19" width="11.6640625" style="9" customWidth="1"/>
    <col min="20" max="20" width="9.109375" style="7" bestFit="1" customWidth="1"/>
    <col min="21" max="21" width="9.109375" style="5" bestFit="1" customWidth="1"/>
    <col min="22" max="22" width="11.6640625" style="9" customWidth="1"/>
    <col min="23" max="23" width="10.5546875" style="7" bestFit="1" customWidth="1"/>
    <col min="24" max="24" width="11.6640625" style="5" customWidth="1"/>
    <col min="25" max="25" width="11.6640625" style="9" customWidth="1"/>
    <col min="26" max="26" width="9.109375" style="7" bestFit="1" customWidth="1"/>
    <col min="27" max="27" width="9.109375" style="5" bestFit="1" customWidth="1"/>
    <col min="28" max="28" width="11.88671875" style="10" bestFit="1" customWidth="1"/>
    <col min="29" max="29" width="10.5546875" style="7" bestFit="1" customWidth="1"/>
    <col min="30" max="30" width="10.5546875" style="5" bestFit="1" customWidth="1"/>
    <col min="31" max="31" width="11.6640625" style="9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3" t="s">
        <v>15</v>
      </c>
      <c r="J1" s="4" t="s">
        <v>21</v>
      </c>
      <c r="K1" s="2" t="s">
        <v>8</v>
      </c>
      <c r="L1" s="5" t="s">
        <v>16</v>
      </c>
      <c r="M1" s="4" t="s">
        <v>21</v>
      </c>
      <c r="N1" s="2" t="s">
        <v>9</v>
      </c>
      <c r="O1" s="5" t="s">
        <v>17</v>
      </c>
      <c r="P1" s="4" t="s">
        <v>21</v>
      </c>
      <c r="Q1" s="2" t="s">
        <v>10</v>
      </c>
      <c r="R1" s="5" t="s">
        <v>18</v>
      </c>
      <c r="S1" s="4" t="s">
        <v>21</v>
      </c>
      <c r="T1" s="2" t="s">
        <v>11</v>
      </c>
      <c r="U1" s="5" t="s">
        <v>19</v>
      </c>
      <c r="V1" s="4" t="s">
        <v>21</v>
      </c>
      <c r="W1" s="2" t="s">
        <v>12</v>
      </c>
      <c r="X1" s="5" t="s">
        <v>20</v>
      </c>
      <c r="Y1" s="4" t="s">
        <v>21</v>
      </c>
      <c r="Z1" s="2" t="s">
        <v>13</v>
      </c>
      <c r="AA1" s="5" t="s">
        <v>19</v>
      </c>
      <c r="AB1" s="6" t="s">
        <v>21</v>
      </c>
      <c r="AC1" s="2" t="s">
        <v>14</v>
      </c>
      <c r="AD1" s="5" t="s">
        <v>20</v>
      </c>
      <c r="AE1" s="4" t="s">
        <v>21</v>
      </c>
    </row>
    <row r="2" spans="1:31" x14ac:dyDescent="0.3">
      <c r="A2">
        <v>1</v>
      </c>
      <c r="B2" s="1">
        <v>0.51902777777777775</v>
      </c>
      <c r="C2">
        <v>0</v>
      </c>
      <c r="D2">
        <v>84.46</v>
      </c>
      <c r="E2">
        <v>28.12</v>
      </c>
      <c r="F2">
        <v>10803</v>
      </c>
      <c r="G2">
        <v>29</v>
      </c>
      <c r="H2" s="7">
        <v>82.706485999999998</v>
      </c>
      <c r="I2" s="8">
        <v>82.706496210061729</v>
      </c>
      <c r="J2" s="9">
        <f>H2-I2</f>
        <v>-1.0210061731186215E-5</v>
      </c>
      <c r="K2" s="7">
        <v>17.327008800000002</v>
      </c>
      <c r="L2" s="5">
        <v>17.327010956007932</v>
      </c>
      <c r="M2" s="9">
        <f>K2-L2</f>
        <v>-2.156007930409487E-6</v>
      </c>
      <c r="N2" s="7">
        <v>168.5641</v>
      </c>
      <c r="O2" s="5">
        <v>168.56412090987396</v>
      </c>
      <c r="P2" s="9">
        <f>N2-O2</f>
        <v>-2.0909873967411841E-5</v>
      </c>
      <c r="Q2" s="7">
        <v>126.43382200000001</v>
      </c>
      <c r="R2" s="5">
        <v>126.43383755859794</v>
      </c>
      <c r="S2" s="9">
        <f>Q2-R2</f>
        <v>-1.5558597937115337E-5</v>
      </c>
      <c r="T2" s="7">
        <v>6.3500555800000003</v>
      </c>
      <c r="U2" s="5">
        <v>6.350056355797479</v>
      </c>
      <c r="V2" s="9">
        <f>T2-U2</f>
        <v>-7.7579747870260007E-7</v>
      </c>
      <c r="W2" s="7">
        <v>198.43923699999999</v>
      </c>
      <c r="X2" s="5">
        <v>198.43926111867123</v>
      </c>
      <c r="Y2" s="9">
        <f>W2-X2</f>
        <v>-2.4118671234418798E-5</v>
      </c>
      <c r="Z2" s="7">
        <v>5.1446742099999998</v>
      </c>
      <c r="AA2" s="5">
        <v>5.1446748426296649</v>
      </c>
      <c r="AB2" s="10">
        <f>Z2-AA2</f>
        <v>-6.3262966509824992E-7</v>
      </c>
      <c r="AC2" s="7">
        <v>160.77106900000001</v>
      </c>
      <c r="AD2" s="5">
        <v>160.77108883217701</v>
      </c>
      <c r="AE2" s="9">
        <f>AC2-AD2</f>
        <v>-1.9832177002854223E-5</v>
      </c>
    </row>
    <row r="3" spans="1:31" x14ac:dyDescent="0.3">
      <c r="A3">
        <v>1</v>
      </c>
      <c r="B3" s="1">
        <v>0.51920138888888889</v>
      </c>
      <c r="C3">
        <v>0.25</v>
      </c>
      <c r="D3">
        <v>83.67</v>
      </c>
      <c r="E3">
        <v>28.22</v>
      </c>
      <c r="F3">
        <v>11057</v>
      </c>
      <c r="G3">
        <v>29</v>
      </c>
      <c r="H3" s="7">
        <v>81.944292000000004</v>
      </c>
      <c r="I3" s="8">
        <v>81.944302393649437</v>
      </c>
      <c r="J3" s="9">
        <f t="shared" ref="J3:J66" si="0">H3-I3</f>
        <v>-1.0393649432671737E-5</v>
      </c>
      <c r="K3" s="7">
        <v>17.167329299999999</v>
      </c>
      <c r="L3" s="5">
        <v>17.126359200272731</v>
      </c>
      <c r="M3" s="9">
        <f t="shared" ref="M3:M66" si="1">K3-L3</f>
        <v>4.097009972726795E-2</v>
      </c>
      <c r="N3" s="7">
        <v>167.010673</v>
      </c>
      <c r="O3" s="5">
        <v>167.01069359141806</v>
      </c>
      <c r="P3" s="9">
        <f t="shared" ref="P3:P66" si="2">N3-O3</f>
        <v>-2.0591418063986566E-5</v>
      </c>
      <c r="Q3" s="7">
        <v>125.268653</v>
      </c>
      <c r="R3" s="5">
        <v>125.26866803034612</v>
      </c>
      <c r="S3" s="9">
        <f t="shared" ref="S3:S66" si="3">Q3-R3</f>
        <v>-1.5030346119715432E-5</v>
      </c>
      <c r="T3" s="7">
        <v>6.2915357099999998</v>
      </c>
      <c r="U3" s="5">
        <v>6.2915364823891604</v>
      </c>
      <c r="V3" s="9">
        <f t="shared" ref="V3:V66" si="4">T3-U3</f>
        <v>-7.7238916063038232E-7</v>
      </c>
      <c r="W3" s="7">
        <v>196.610491</v>
      </c>
      <c r="X3" s="5">
        <v>196.61051507466127</v>
      </c>
      <c r="Y3" s="9">
        <f t="shared" ref="Y3:Y66" si="5">W3-X3</f>
        <v>-2.4074661268969066E-5</v>
      </c>
      <c r="Z3" s="7">
        <v>5.0972627199999998</v>
      </c>
      <c r="AA3" s="5">
        <v>5.0972633389124136</v>
      </c>
      <c r="AB3" s="10">
        <f t="shared" ref="AB3:AB66" si="6">Z3-AA3</f>
        <v>-6.1891241376343942E-7</v>
      </c>
      <c r="AC3" s="7">
        <v>159.28945999999999</v>
      </c>
      <c r="AD3" s="5">
        <v>159.28947934101294</v>
      </c>
      <c r="AE3" s="9">
        <f t="shared" ref="AE3:AE66" si="7">AC3-AD3</f>
        <v>-1.9341012944096292E-5</v>
      </c>
    </row>
    <row r="4" spans="1:31" x14ac:dyDescent="0.3">
      <c r="A4">
        <v>1</v>
      </c>
      <c r="B4" s="1">
        <v>0.51937500000000003</v>
      </c>
      <c r="C4">
        <v>0.5</v>
      </c>
      <c r="D4">
        <v>85.05</v>
      </c>
      <c r="E4">
        <v>28.04</v>
      </c>
      <c r="F4">
        <v>11032</v>
      </c>
      <c r="G4">
        <v>29</v>
      </c>
      <c r="H4" s="7">
        <v>83.322498999999993</v>
      </c>
      <c r="I4" s="8">
        <v>83.322509122131251</v>
      </c>
      <c r="J4" s="9">
        <f t="shared" si="0"/>
        <v>-1.0122131257617184E-5</v>
      </c>
      <c r="K4" s="7">
        <v>17.456063499999999</v>
      </c>
      <c r="L4" s="5">
        <v>17.414404406525431</v>
      </c>
      <c r="M4" s="9">
        <f t="shared" si="1"/>
        <v>4.1659093474567754E-2</v>
      </c>
      <c r="N4" s="7">
        <v>169.81959599999999</v>
      </c>
      <c r="O4" s="5">
        <v>169.81961690777479</v>
      </c>
      <c r="P4" s="9">
        <f t="shared" si="2"/>
        <v>-2.090777479679673E-5</v>
      </c>
      <c r="Q4" s="7">
        <v>127.375524</v>
      </c>
      <c r="R4" s="5">
        <v>127.37553960169723</v>
      </c>
      <c r="S4" s="9">
        <f t="shared" si="3"/>
        <v>-1.5601697228362355E-5</v>
      </c>
      <c r="T4" s="7">
        <v>6.3973519400000001</v>
      </c>
      <c r="U4" s="5">
        <v>6.3973527217033102</v>
      </c>
      <c r="V4" s="9">
        <f t="shared" si="4"/>
        <v>-7.8170331008209359E-7</v>
      </c>
      <c r="W4" s="7">
        <v>199.917248</v>
      </c>
      <c r="X4" s="5">
        <v>199.91727255322843</v>
      </c>
      <c r="Y4" s="9">
        <f t="shared" si="5"/>
        <v>-2.4553228428203511E-5</v>
      </c>
      <c r="Z4" s="7">
        <v>5.1829926799999999</v>
      </c>
      <c r="AA4" s="5">
        <v>5.1829933094573475</v>
      </c>
      <c r="AB4" s="10">
        <f t="shared" si="6"/>
        <v>-6.2945734757846594E-7</v>
      </c>
      <c r="AC4" s="7">
        <v>161.96852100000001</v>
      </c>
      <c r="AD4" s="5">
        <v>161.9685409205421</v>
      </c>
      <c r="AE4" s="9">
        <f t="shared" si="7"/>
        <v>-1.9920542086993009E-5</v>
      </c>
    </row>
    <row r="5" spans="1:31" x14ac:dyDescent="0.3">
      <c r="A5">
        <v>1</v>
      </c>
      <c r="B5" s="1">
        <v>0.51954861111111106</v>
      </c>
      <c r="C5">
        <v>0.75</v>
      </c>
      <c r="D5">
        <v>84.31</v>
      </c>
      <c r="E5">
        <v>28.13</v>
      </c>
      <c r="F5">
        <v>11088</v>
      </c>
      <c r="G5">
        <v>29</v>
      </c>
      <c r="H5" s="7">
        <v>82.629876999999993</v>
      </c>
      <c r="I5" s="8">
        <v>82.629887435782251</v>
      </c>
      <c r="J5" s="9">
        <f t="shared" si="0"/>
        <v>-1.0435782257900428E-5</v>
      </c>
      <c r="K5" s="7">
        <v>17.3109593</v>
      </c>
      <c r="L5" s="5">
        <v>17.269646474078492</v>
      </c>
      <c r="M5" s="9">
        <f t="shared" si="1"/>
        <v>4.1312825921508534E-2</v>
      </c>
      <c r="N5" s="7">
        <v>168.40796399999999</v>
      </c>
      <c r="O5" s="5">
        <v>168.40798455684066</v>
      </c>
      <c r="P5" s="9">
        <f t="shared" si="2"/>
        <v>-2.0556840667040888E-5</v>
      </c>
      <c r="Q5" s="7">
        <v>126.31671</v>
      </c>
      <c r="R5" s="5">
        <v>126.31672533928433</v>
      </c>
      <c r="S5" s="9">
        <f t="shared" si="3"/>
        <v>-1.5339284331616909E-5</v>
      </c>
      <c r="T5" s="7">
        <v>6.3441736999999998</v>
      </c>
      <c r="U5" s="5">
        <v>6.3441744715886772</v>
      </c>
      <c r="V5" s="9">
        <f t="shared" si="4"/>
        <v>-7.7158867739512971E-7</v>
      </c>
      <c r="W5" s="7">
        <v>198.25542799999999</v>
      </c>
      <c r="X5" s="5">
        <v>198.25545223714616</v>
      </c>
      <c r="Y5" s="9">
        <f t="shared" si="5"/>
        <v>-2.4237146163841317E-5</v>
      </c>
      <c r="Z5" s="7">
        <v>5.1399088400000004</v>
      </c>
      <c r="AA5" s="5">
        <v>5.1399094704784947</v>
      </c>
      <c r="AB5" s="10">
        <f t="shared" si="6"/>
        <v>-6.3047849430120095E-7</v>
      </c>
      <c r="AC5" s="7">
        <v>160.622151</v>
      </c>
      <c r="AD5" s="5">
        <v>160.62217095245296</v>
      </c>
      <c r="AE5" s="9">
        <f t="shared" si="7"/>
        <v>-1.9952452959159928E-5</v>
      </c>
    </row>
    <row r="6" spans="1:31" x14ac:dyDescent="0.3">
      <c r="A6">
        <v>1</v>
      </c>
      <c r="B6" s="1">
        <v>0.5197222222222222</v>
      </c>
      <c r="C6">
        <v>1</v>
      </c>
      <c r="D6">
        <v>83.81</v>
      </c>
      <c r="E6">
        <v>28.2</v>
      </c>
      <c r="F6">
        <v>11081</v>
      </c>
      <c r="G6">
        <v>29</v>
      </c>
      <c r="H6" s="7">
        <v>82.096041</v>
      </c>
      <c r="I6" s="8">
        <v>82.096051270907722</v>
      </c>
      <c r="J6" s="9">
        <f t="shared" si="0"/>
        <v>-1.0270907722542688E-5</v>
      </c>
      <c r="K6" s="7">
        <v>17.199120600000001</v>
      </c>
      <c r="L6" s="5">
        <v>17.158074715619712</v>
      </c>
      <c r="M6" s="9">
        <f t="shared" si="1"/>
        <v>4.1045884380288555E-2</v>
      </c>
      <c r="N6" s="7">
        <v>167.319953</v>
      </c>
      <c r="O6" s="5">
        <v>167.31997299831173</v>
      </c>
      <c r="P6" s="9">
        <f t="shared" si="2"/>
        <v>-1.9998311728386398E-5</v>
      </c>
      <c r="Q6" s="7">
        <v>125.500632</v>
      </c>
      <c r="R6" s="5">
        <v>125.5006473037546</v>
      </c>
      <c r="S6" s="9">
        <f t="shared" si="3"/>
        <v>-1.5303754608453346E-5</v>
      </c>
      <c r="T6" s="7">
        <v>6.3031867200000002</v>
      </c>
      <c r="U6" s="5">
        <v>6.3031874888599413</v>
      </c>
      <c r="V6" s="9">
        <f t="shared" si="4"/>
        <v>-7.6885994104713973E-7</v>
      </c>
      <c r="W6" s="7">
        <v>196.97458499999999</v>
      </c>
      <c r="X6" s="5">
        <v>196.97460902687317</v>
      </c>
      <c r="Y6" s="9">
        <f t="shared" si="5"/>
        <v>-2.4026873177263042E-5</v>
      </c>
      <c r="Z6" s="7">
        <v>5.1067020999999997</v>
      </c>
      <c r="AA6" s="5">
        <v>5.1067027259860138</v>
      </c>
      <c r="AB6" s="10">
        <f t="shared" si="6"/>
        <v>-6.2598601413554888E-7</v>
      </c>
      <c r="AC6" s="7">
        <v>159.584441</v>
      </c>
      <c r="AD6" s="5">
        <v>159.58446018706294</v>
      </c>
      <c r="AE6" s="9">
        <f t="shared" si="7"/>
        <v>-1.9187062946457445E-5</v>
      </c>
    </row>
    <row r="7" spans="1:31" x14ac:dyDescent="0.3">
      <c r="A7">
        <v>1</v>
      </c>
      <c r="B7" s="1">
        <v>0.51989583333333333</v>
      </c>
      <c r="C7">
        <v>1.25</v>
      </c>
      <c r="D7">
        <v>84.09</v>
      </c>
      <c r="E7">
        <v>28.16</v>
      </c>
      <c r="F7">
        <v>11072</v>
      </c>
      <c r="G7">
        <v>29</v>
      </c>
      <c r="H7" s="7">
        <v>82.400571999999997</v>
      </c>
      <c r="I7" s="8">
        <v>82.400581827627931</v>
      </c>
      <c r="J7" s="9">
        <f t="shared" si="0"/>
        <v>-9.827627934555494E-6</v>
      </c>
      <c r="K7" s="7">
        <v>17.262919799999999</v>
      </c>
      <c r="L7" s="5">
        <v>17.221721601974238</v>
      </c>
      <c r="M7" s="9">
        <f t="shared" si="1"/>
        <v>4.1198198025760746E-2</v>
      </c>
      <c r="N7" s="7">
        <v>167.94061600000001</v>
      </c>
      <c r="O7" s="5">
        <v>167.94063676640752</v>
      </c>
      <c r="P7" s="9">
        <f t="shared" si="2"/>
        <v>-2.0766407516248364E-5</v>
      </c>
      <c r="Q7" s="7">
        <v>125.96616899999999</v>
      </c>
      <c r="R7" s="5">
        <v>125.96618470050518</v>
      </c>
      <c r="S7" s="9">
        <f t="shared" si="3"/>
        <v>-1.5700505187510316E-5</v>
      </c>
      <c r="T7" s="7">
        <v>6.3265680299999998</v>
      </c>
      <c r="U7" s="5">
        <v>6.3265687985012571</v>
      </c>
      <c r="V7" s="9">
        <f t="shared" si="4"/>
        <v>-7.6850125729777119E-7</v>
      </c>
      <c r="W7" s="7">
        <v>197.705251</v>
      </c>
      <c r="X7" s="5">
        <v>197.70527495316429</v>
      </c>
      <c r="Y7" s="9">
        <f t="shared" si="5"/>
        <v>-2.3953164287604523E-5</v>
      </c>
      <c r="Z7" s="7">
        <v>5.1256451199999997</v>
      </c>
      <c r="AA7" s="5">
        <v>5.1256457445608943</v>
      </c>
      <c r="AB7" s="10">
        <f t="shared" si="6"/>
        <v>-6.2456089455764641E-7</v>
      </c>
      <c r="AC7" s="7">
        <v>160.17641</v>
      </c>
      <c r="AD7" s="5">
        <v>160.17642951752794</v>
      </c>
      <c r="AE7" s="9">
        <f t="shared" si="7"/>
        <v>-1.9517527931611767E-5</v>
      </c>
    </row>
    <row r="8" spans="1:31" x14ac:dyDescent="0.3">
      <c r="A8">
        <v>1</v>
      </c>
      <c r="B8" s="1">
        <v>0.52006944444444447</v>
      </c>
      <c r="C8">
        <v>1.5</v>
      </c>
      <c r="D8">
        <v>84.64</v>
      </c>
      <c r="E8">
        <v>28.09</v>
      </c>
      <c r="F8">
        <v>11056</v>
      </c>
      <c r="G8">
        <v>29</v>
      </c>
      <c r="H8" s="7">
        <v>82.936835000000002</v>
      </c>
      <c r="I8" s="8">
        <v>82.93684503568214</v>
      </c>
      <c r="J8" s="9">
        <f t="shared" si="0"/>
        <v>-1.003568213775452E-5</v>
      </c>
      <c r="K8" s="7">
        <v>17.3752669</v>
      </c>
      <c r="L8" s="5">
        <v>17.333800612457566</v>
      </c>
      <c r="M8" s="9">
        <f t="shared" si="1"/>
        <v>4.1466287542434088E-2</v>
      </c>
      <c r="N8" s="7">
        <v>169.03357399999999</v>
      </c>
      <c r="O8" s="5">
        <v>169.03359488196324</v>
      </c>
      <c r="P8" s="9">
        <f t="shared" si="2"/>
        <v>-2.0881963251895286E-5</v>
      </c>
      <c r="Q8" s="7">
        <v>126.785957</v>
      </c>
      <c r="R8" s="5">
        <v>126.78597296917481</v>
      </c>
      <c r="S8" s="9">
        <f t="shared" si="3"/>
        <v>-1.5969174810948061E-5</v>
      </c>
      <c r="T8" s="7">
        <v>6.3677413500000002</v>
      </c>
      <c r="U8" s="5">
        <v>6.3677421252498112</v>
      </c>
      <c r="V8" s="9">
        <f t="shared" si="4"/>
        <v>-7.75249811013623E-7</v>
      </c>
      <c r="W8" s="7">
        <v>198.991917</v>
      </c>
      <c r="X8" s="5">
        <v>198.99194141405661</v>
      </c>
      <c r="Y8" s="9">
        <f t="shared" si="5"/>
        <v>-2.4414056611021806E-5</v>
      </c>
      <c r="Z8" s="7">
        <v>5.1590028300000004</v>
      </c>
      <c r="AA8" s="5">
        <v>5.159003460845927</v>
      </c>
      <c r="AB8" s="10">
        <f t="shared" si="6"/>
        <v>-6.3084592660800354E-7</v>
      </c>
      <c r="AC8" s="7">
        <v>161.21883800000001</v>
      </c>
      <c r="AD8" s="5">
        <v>161.21885815143523</v>
      </c>
      <c r="AE8" s="9">
        <f t="shared" si="7"/>
        <v>-2.0151435222715008E-5</v>
      </c>
    </row>
    <row r="9" spans="1:31" x14ac:dyDescent="0.3">
      <c r="A9">
        <v>1</v>
      </c>
      <c r="B9" s="1">
        <v>0.52024305555555561</v>
      </c>
      <c r="C9">
        <v>1.75</v>
      </c>
      <c r="D9">
        <v>83.19</v>
      </c>
      <c r="E9">
        <v>28.28</v>
      </c>
      <c r="F9">
        <v>11081</v>
      </c>
      <c r="G9">
        <v>29</v>
      </c>
      <c r="H9" s="7">
        <v>81.491099000000006</v>
      </c>
      <c r="I9" s="8">
        <v>81.491109284890683</v>
      </c>
      <c r="J9" s="9">
        <f t="shared" si="0"/>
        <v>-1.0284890677780822E-5</v>
      </c>
      <c r="K9" s="7">
        <v>17.072385300000001</v>
      </c>
      <c r="L9" s="5">
        <v>17.03164184054215</v>
      </c>
      <c r="M9" s="9">
        <f t="shared" si="1"/>
        <v>4.0743459457850406E-2</v>
      </c>
      <c r="N9" s="7">
        <v>166.08702</v>
      </c>
      <c r="O9" s="5">
        <v>166.08704065626884</v>
      </c>
      <c r="P9" s="9">
        <f t="shared" si="2"/>
        <v>-2.065626884473204E-5</v>
      </c>
      <c r="Q9" s="7">
        <v>124.57585400000001</v>
      </c>
      <c r="R9" s="5">
        <v>124.57586944110412</v>
      </c>
      <c r="S9" s="9">
        <f t="shared" si="3"/>
        <v>-1.5441104110891501E-5</v>
      </c>
      <c r="T9" s="7">
        <v>6.2567403600000002</v>
      </c>
      <c r="U9" s="5">
        <v>6.2567411287887857</v>
      </c>
      <c r="V9" s="9">
        <f t="shared" si="4"/>
        <v>-7.6878878552122387E-7</v>
      </c>
      <c r="W9" s="7">
        <v>195.52313599999999</v>
      </c>
      <c r="X9" s="5">
        <v>195.52316027464954</v>
      </c>
      <c r="Y9" s="9">
        <f t="shared" si="5"/>
        <v>-2.4274649547351146E-5</v>
      </c>
      <c r="Z9" s="7">
        <v>5.0690723000000002</v>
      </c>
      <c r="AA9" s="5">
        <v>5.0690729150361253</v>
      </c>
      <c r="AB9" s="10">
        <f t="shared" si="6"/>
        <v>-6.150361251400227E-7</v>
      </c>
      <c r="AC9" s="7">
        <v>158.40850900000001</v>
      </c>
      <c r="AD9" s="5">
        <v>158.40852859487893</v>
      </c>
      <c r="AE9" s="9">
        <f t="shared" si="7"/>
        <v>-1.9594878921225245E-5</v>
      </c>
    </row>
    <row r="10" spans="1:31" x14ac:dyDescent="0.3">
      <c r="A10">
        <v>1</v>
      </c>
      <c r="B10" s="1">
        <v>0.52041666666666664</v>
      </c>
      <c r="C10">
        <v>2</v>
      </c>
      <c r="D10">
        <v>83.04</v>
      </c>
      <c r="E10">
        <v>28.3</v>
      </c>
      <c r="F10">
        <v>11078</v>
      </c>
      <c r="G10">
        <v>29</v>
      </c>
      <c r="H10" s="7">
        <v>81.340716</v>
      </c>
      <c r="I10" s="8">
        <v>81.340726086267509</v>
      </c>
      <c r="J10" s="9">
        <f t="shared" si="0"/>
        <v>-1.008626750831354E-5</v>
      </c>
      <c r="K10" s="7">
        <v>17.040880000000001</v>
      </c>
      <c r="L10" s="5">
        <v>17.000211752029909</v>
      </c>
      <c r="M10" s="9">
        <f t="shared" si="1"/>
        <v>4.0668247970092608E-2</v>
      </c>
      <c r="N10" s="7">
        <v>165.78052400000001</v>
      </c>
      <c r="O10" s="5">
        <v>165.78054463918272</v>
      </c>
      <c r="P10" s="9">
        <f t="shared" si="2"/>
        <v>-2.0639182707782311E-5</v>
      </c>
      <c r="Q10" s="7">
        <v>124.345963</v>
      </c>
      <c r="R10" s="5">
        <v>124.34597788750747</v>
      </c>
      <c r="S10" s="9">
        <f t="shared" si="3"/>
        <v>-1.4887507475691564E-5</v>
      </c>
      <c r="T10" s="7">
        <v>6.2451942100000002</v>
      </c>
      <c r="U10" s="5">
        <v>6.2451949766727894</v>
      </c>
      <c r="V10" s="9">
        <f t="shared" si="4"/>
        <v>-7.6667278925413029E-7</v>
      </c>
      <c r="W10" s="7">
        <v>195.162319</v>
      </c>
      <c r="X10" s="5">
        <v>195.16234302102467</v>
      </c>
      <c r="Y10" s="9">
        <f t="shared" si="5"/>
        <v>-2.4021024671583291E-5</v>
      </c>
      <c r="Z10" s="7">
        <v>5.0597178600000001</v>
      </c>
      <c r="AA10" s="5">
        <v>5.0597184786355562</v>
      </c>
      <c r="AB10" s="10">
        <f t="shared" si="6"/>
        <v>-6.1863555611552101E-7</v>
      </c>
      <c r="AC10" s="7">
        <v>158.11618300000001</v>
      </c>
      <c r="AD10" s="5">
        <v>158.11620245736114</v>
      </c>
      <c r="AE10" s="9">
        <f t="shared" si="7"/>
        <v>-1.9457361133845552E-5</v>
      </c>
    </row>
    <row r="11" spans="1:31" x14ac:dyDescent="0.3">
      <c r="A11">
        <v>1</v>
      </c>
      <c r="B11" s="1">
        <v>0.52059027777777778</v>
      </c>
      <c r="C11">
        <v>2.25</v>
      </c>
      <c r="D11">
        <v>83.22</v>
      </c>
      <c r="E11">
        <v>28.28</v>
      </c>
      <c r="F11">
        <v>11090</v>
      </c>
      <c r="G11">
        <v>29</v>
      </c>
      <c r="H11" s="7">
        <v>81.491099000000006</v>
      </c>
      <c r="I11" s="8">
        <v>81.491109284890683</v>
      </c>
      <c r="J11" s="9">
        <f t="shared" si="0"/>
        <v>-1.0284890677780822E-5</v>
      </c>
      <c r="K11" s="7">
        <v>17.072385300000001</v>
      </c>
      <c r="L11" s="5">
        <v>17.03164184054215</v>
      </c>
      <c r="M11" s="9">
        <f t="shared" si="1"/>
        <v>4.0743459457850406E-2</v>
      </c>
      <c r="N11" s="7">
        <v>166.08702</v>
      </c>
      <c r="O11" s="5">
        <v>166.08704065626884</v>
      </c>
      <c r="P11" s="9">
        <f t="shared" si="2"/>
        <v>-2.065626884473204E-5</v>
      </c>
      <c r="Q11" s="7">
        <v>124.57585400000001</v>
      </c>
      <c r="R11" s="5">
        <v>124.57586944110412</v>
      </c>
      <c r="S11" s="9">
        <f t="shared" si="3"/>
        <v>-1.5441104110891501E-5</v>
      </c>
      <c r="T11" s="7">
        <v>6.2567403600000002</v>
      </c>
      <c r="U11" s="5">
        <v>6.2567411287887857</v>
      </c>
      <c r="V11" s="9">
        <f t="shared" si="4"/>
        <v>-7.6878878552122387E-7</v>
      </c>
      <c r="W11" s="7">
        <v>195.52313599999999</v>
      </c>
      <c r="X11" s="5">
        <v>195.52316027464954</v>
      </c>
      <c r="Y11" s="9">
        <f t="shared" si="5"/>
        <v>-2.4274649547351146E-5</v>
      </c>
      <c r="Z11" s="7">
        <v>5.0690723000000002</v>
      </c>
      <c r="AA11" s="5">
        <v>5.0690729150361253</v>
      </c>
      <c r="AB11" s="10">
        <f t="shared" si="6"/>
        <v>-6.150361251400227E-7</v>
      </c>
      <c r="AC11" s="7">
        <v>158.40850900000001</v>
      </c>
      <c r="AD11" s="5">
        <v>158.40852859487893</v>
      </c>
      <c r="AE11" s="9">
        <f t="shared" si="7"/>
        <v>-1.9594878921225245E-5</v>
      </c>
    </row>
    <row r="12" spans="1:31" x14ac:dyDescent="0.3">
      <c r="A12">
        <v>1</v>
      </c>
      <c r="B12" s="1">
        <v>0.52076388888888892</v>
      </c>
      <c r="C12">
        <v>2.5</v>
      </c>
      <c r="D12">
        <v>83.51</v>
      </c>
      <c r="E12">
        <v>28.24</v>
      </c>
      <c r="F12">
        <v>11103</v>
      </c>
      <c r="G12">
        <v>29</v>
      </c>
      <c r="H12" s="7">
        <v>81.792885999999996</v>
      </c>
      <c r="I12" s="8">
        <v>81.792896439213109</v>
      </c>
      <c r="J12" s="9">
        <f t="shared" si="0"/>
        <v>-1.0439213113500045E-5</v>
      </c>
      <c r="K12" s="7">
        <v>17.1356097</v>
      </c>
      <c r="L12" s="5">
        <v>17.09471535579554</v>
      </c>
      <c r="M12" s="9">
        <f t="shared" si="1"/>
        <v>4.0894344204460253E-2</v>
      </c>
      <c r="N12" s="7">
        <v>166.70209299999999</v>
      </c>
      <c r="O12" s="5">
        <v>166.70211309557334</v>
      </c>
      <c r="P12" s="9">
        <f t="shared" si="2"/>
        <v>-2.0095573347589379E-5</v>
      </c>
      <c r="Q12" s="7">
        <v>125.037198</v>
      </c>
      <c r="R12" s="5">
        <v>125.03721298478371</v>
      </c>
      <c r="S12" s="9">
        <f t="shared" si="3"/>
        <v>-1.4984783703653193E-5</v>
      </c>
      <c r="T12" s="7">
        <v>6.27991104</v>
      </c>
      <c r="U12" s="5">
        <v>6.2799118049172469</v>
      </c>
      <c r="V12" s="9">
        <f t="shared" si="4"/>
        <v>-7.6491724687599572E-7</v>
      </c>
      <c r="W12" s="7">
        <v>196.24722</v>
      </c>
      <c r="X12" s="5">
        <v>196.24724390366396</v>
      </c>
      <c r="Y12" s="9">
        <f t="shared" si="5"/>
        <v>-2.3903663958435573E-5</v>
      </c>
      <c r="Z12" s="7">
        <v>5.08784466</v>
      </c>
      <c r="AA12" s="5">
        <v>5.0878452830098331</v>
      </c>
      <c r="AB12" s="10">
        <f t="shared" si="6"/>
        <v>-6.2300983305618729E-7</v>
      </c>
      <c r="AC12" s="7">
        <v>158.99514600000001</v>
      </c>
      <c r="AD12" s="5">
        <v>158.99516509405728</v>
      </c>
      <c r="AE12" s="9">
        <f t="shared" si="7"/>
        <v>-1.90940572792897E-5</v>
      </c>
    </row>
    <row r="13" spans="1:31" x14ac:dyDescent="0.3">
      <c r="A13">
        <v>1</v>
      </c>
      <c r="B13" s="1">
        <v>0.52093749999999994</v>
      </c>
      <c r="C13">
        <v>2.75</v>
      </c>
      <c r="D13">
        <v>82.19</v>
      </c>
      <c r="E13">
        <v>28.41</v>
      </c>
      <c r="F13">
        <v>11069</v>
      </c>
      <c r="G13">
        <v>29</v>
      </c>
      <c r="H13" s="7">
        <v>80.519639999999995</v>
      </c>
      <c r="I13" s="8">
        <v>80.519650283656645</v>
      </c>
      <c r="J13" s="9">
        <f t="shared" si="0"/>
        <v>-1.0283656649789918E-5</v>
      </c>
      <c r="K13" s="7">
        <v>16.8688647</v>
      </c>
      <c r="L13" s="5">
        <v>16.828606909284236</v>
      </c>
      <c r="M13" s="9">
        <f t="shared" si="1"/>
        <v>4.025779071576352E-2</v>
      </c>
      <c r="N13" s="7">
        <v>164.10709</v>
      </c>
      <c r="O13" s="5">
        <v>164.10710993683546</v>
      </c>
      <c r="P13" s="9">
        <f t="shared" si="2"/>
        <v>-1.9936835457201596E-5</v>
      </c>
      <c r="Q13" s="7">
        <v>123.09078</v>
      </c>
      <c r="R13" s="5">
        <v>123.09079517021605</v>
      </c>
      <c r="S13" s="9">
        <f t="shared" si="3"/>
        <v>-1.5170216059345876E-5</v>
      </c>
      <c r="T13" s="7">
        <v>6.1821535000000001</v>
      </c>
      <c r="U13" s="5">
        <v>6.1821542500324291</v>
      </c>
      <c r="V13" s="9">
        <f t="shared" si="4"/>
        <v>-7.5003242905324896E-7</v>
      </c>
      <c r="W13" s="7">
        <v>193.192297</v>
      </c>
      <c r="X13" s="5">
        <v>193.19232031351342</v>
      </c>
      <c r="Y13" s="9">
        <f t="shared" si="5"/>
        <v>-2.3313513423772747E-5</v>
      </c>
      <c r="Z13" s="7">
        <v>5.0086436699999997</v>
      </c>
      <c r="AA13" s="5">
        <v>5.0086442798827129</v>
      </c>
      <c r="AB13" s="10">
        <f t="shared" si="6"/>
        <v>-6.0988271322059973E-7</v>
      </c>
      <c r="AC13" s="7">
        <v>156.520115</v>
      </c>
      <c r="AD13" s="5">
        <v>156.52013374633478</v>
      </c>
      <c r="AE13" s="9">
        <f t="shared" si="7"/>
        <v>-1.8746334774277784E-5</v>
      </c>
    </row>
    <row r="14" spans="1:31" x14ac:dyDescent="0.3">
      <c r="A14">
        <v>1</v>
      </c>
      <c r="B14" s="1">
        <v>0.52111111111111108</v>
      </c>
      <c r="C14">
        <v>3</v>
      </c>
      <c r="D14">
        <v>82.69</v>
      </c>
      <c r="E14">
        <v>28.34</v>
      </c>
      <c r="F14">
        <v>11099</v>
      </c>
      <c r="G14">
        <v>29</v>
      </c>
      <c r="H14" s="7">
        <v>81.040965999999997</v>
      </c>
      <c r="I14" s="8">
        <v>81.04097547380097</v>
      </c>
      <c r="J14" s="9">
        <f t="shared" si="0"/>
        <v>-9.4738009721595517E-6</v>
      </c>
      <c r="K14" s="7">
        <v>16.978082300000001</v>
      </c>
      <c r="L14" s="5">
        <v>16.937563874024402</v>
      </c>
      <c r="M14" s="9">
        <f t="shared" si="1"/>
        <v>4.0518425975598404E-2</v>
      </c>
      <c r="N14" s="7">
        <v>165.169603</v>
      </c>
      <c r="O14" s="5">
        <v>165.16962287610519</v>
      </c>
      <c r="P14" s="9">
        <f t="shared" si="2"/>
        <v>-1.9876105199045924E-5</v>
      </c>
      <c r="Q14" s="7">
        <v>123.887732</v>
      </c>
      <c r="R14" s="5">
        <v>123.88774761562621</v>
      </c>
      <c r="S14" s="9">
        <f t="shared" si="3"/>
        <v>-1.561562621077428E-5</v>
      </c>
      <c r="T14" s="7">
        <v>6.2221799000000004</v>
      </c>
      <c r="U14" s="5">
        <v>6.2221806625732929</v>
      </c>
      <c r="V14" s="9">
        <f t="shared" si="4"/>
        <v>-7.6257329251205874E-7</v>
      </c>
      <c r="W14" s="7">
        <v>194.44312199999999</v>
      </c>
      <c r="X14" s="5">
        <v>194.44314570541542</v>
      </c>
      <c r="Y14" s="9">
        <f t="shared" si="5"/>
        <v>-2.3705415429731147E-5</v>
      </c>
      <c r="Z14" s="7">
        <v>5.0410721799999996</v>
      </c>
      <c r="AA14" s="5">
        <v>5.0410727917102793</v>
      </c>
      <c r="AB14" s="10">
        <f t="shared" si="6"/>
        <v>-6.1171027976314463E-7</v>
      </c>
      <c r="AC14" s="7">
        <v>157.53350599999999</v>
      </c>
      <c r="AD14" s="5">
        <v>157.53352474094623</v>
      </c>
      <c r="AE14" s="9">
        <f t="shared" si="7"/>
        <v>-1.8740946245543455E-5</v>
      </c>
    </row>
    <row r="15" spans="1:31" x14ac:dyDescent="0.3">
      <c r="A15">
        <v>1</v>
      </c>
      <c r="B15" s="1">
        <v>0.52128472222222222</v>
      </c>
      <c r="C15">
        <v>3.25</v>
      </c>
      <c r="D15">
        <v>83.06</v>
      </c>
      <c r="E15">
        <v>28.3</v>
      </c>
      <c r="F15">
        <v>11104</v>
      </c>
      <c r="G15">
        <v>29</v>
      </c>
      <c r="H15" s="7">
        <v>81.340716</v>
      </c>
      <c r="I15" s="8">
        <v>81.340726086267509</v>
      </c>
      <c r="J15" s="9">
        <f t="shared" si="0"/>
        <v>-1.008626750831354E-5</v>
      </c>
      <c r="K15" s="7">
        <v>17.040880000000001</v>
      </c>
      <c r="L15" s="5">
        <v>17.000211752029909</v>
      </c>
      <c r="M15" s="9">
        <f t="shared" si="1"/>
        <v>4.0668247970092608E-2</v>
      </c>
      <c r="N15" s="7">
        <v>165.78052400000001</v>
      </c>
      <c r="O15" s="5">
        <v>165.78054463918272</v>
      </c>
      <c r="P15" s="9">
        <f t="shared" si="2"/>
        <v>-2.0639182707782311E-5</v>
      </c>
      <c r="Q15" s="7">
        <v>124.345963</v>
      </c>
      <c r="R15" s="5">
        <v>124.34597788750747</v>
      </c>
      <c r="S15" s="9">
        <f t="shared" si="3"/>
        <v>-1.4887507475691564E-5</v>
      </c>
      <c r="T15" s="7">
        <v>6.2451942100000002</v>
      </c>
      <c r="U15" s="5">
        <v>6.2451949766727894</v>
      </c>
      <c r="V15" s="9">
        <f t="shared" si="4"/>
        <v>-7.6667278925413029E-7</v>
      </c>
      <c r="W15" s="7">
        <v>195.162319</v>
      </c>
      <c r="X15" s="5">
        <v>195.16234302102467</v>
      </c>
      <c r="Y15" s="9">
        <f t="shared" si="5"/>
        <v>-2.4021024671583291E-5</v>
      </c>
      <c r="Z15" s="7">
        <v>5.0597178600000001</v>
      </c>
      <c r="AA15" s="5">
        <v>5.0597184786355562</v>
      </c>
      <c r="AB15" s="10">
        <f t="shared" si="6"/>
        <v>-6.1863555611552101E-7</v>
      </c>
      <c r="AC15" s="7">
        <v>158.11618300000001</v>
      </c>
      <c r="AD15" s="5">
        <v>158.11620245736114</v>
      </c>
      <c r="AE15" s="9">
        <f t="shared" si="7"/>
        <v>-1.9457361133845552E-5</v>
      </c>
    </row>
    <row r="16" spans="1:31" x14ac:dyDescent="0.3">
      <c r="A16">
        <v>1</v>
      </c>
      <c r="B16" s="1">
        <v>0.52145833333333336</v>
      </c>
      <c r="C16">
        <v>3.5</v>
      </c>
      <c r="D16">
        <v>83.15</v>
      </c>
      <c r="E16">
        <v>28.28</v>
      </c>
      <c r="F16">
        <v>11099</v>
      </c>
      <c r="G16">
        <v>29</v>
      </c>
      <c r="H16" s="7">
        <v>81.491099000000006</v>
      </c>
      <c r="I16" s="8">
        <v>81.491109284890683</v>
      </c>
      <c r="J16" s="9">
        <f t="shared" si="0"/>
        <v>-1.0284890677780822E-5</v>
      </c>
      <c r="K16" s="7">
        <v>17.072385300000001</v>
      </c>
      <c r="L16" s="5">
        <v>17.03164184054215</v>
      </c>
      <c r="M16" s="9">
        <f t="shared" si="1"/>
        <v>4.0743459457850406E-2</v>
      </c>
      <c r="N16" s="7">
        <v>166.08702</v>
      </c>
      <c r="O16" s="5">
        <v>166.08704065626884</v>
      </c>
      <c r="P16" s="9">
        <f t="shared" si="2"/>
        <v>-2.065626884473204E-5</v>
      </c>
      <c r="Q16" s="7">
        <v>124.57585400000001</v>
      </c>
      <c r="R16" s="5">
        <v>124.57586944110412</v>
      </c>
      <c r="S16" s="9">
        <f t="shared" si="3"/>
        <v>-1.5441104110891501E-5</v>
      </c>
      <c r="T16" s="7">
        <v>6.2567403600000002</v>
      </c>
      <c r="U16" s="5">
        <v>6.2567411287887857</v>
      </c>
      <c r="V16" s="9">
        <f t="shared" si="4"/>
        <v>-7.6878878552122387E-7</v>
      </c>
      <c r="W16" s="7">
        <v>195.52313599999999</v>
      </c>
      <c r="X16" s="5">
        <v>195.52316027464954</v>
      </c>
      <c r="Y16" s="9">
        <f t="shared" si="5"/>
        <v>-2.4274649547351146E-5</v>
      </c>
      <c r="Z16" s="7">
        <v>5.0690723000000002</v>
      </c>
      <c r="AA16" s="5">
        <v>5.0690729150361253</v>
      </c>
      <c r="AB16" s="10">
        <f t="shared" si="6"/>
        <v>-6.150361251400227E-7</v>
      </c>
      <c r="AC16" s="7">
        <v>158.40850900000001</v>
      </c>
      <c r="AD16" s="5">
        <v>158.40852859487893</v>
      </c>
      <c r="AE16" s="9">
        <f t="shared" si="7"/>
        <v>-1.9594878921225245E-5</v>
      </c>
    </row>
    <row r="17" spans="1:31" x14ac:dyDescent="0.3">
      <c r="A17">
        <v>1</v>
      </c>
      <c r="B17" s="1">
        <v>0.5216319444444445</v>
      </c>
      <c r="C17">
        <v>3.75</v>
      </c>
      <c r="D17">
        <v>82.77</v>
      </c>
      <c r="E17">
        <v>28.33</v>
      </c>
      <c r="F17">
        <v>11106</v>
      </c>
      <c r="G17">
        <v>29</v>
      </c>
      <c r="H17" s="7">
        <v>81.115776999999994</v>
      </c>
      <c r="I17" s="8">
        <v>81.115786463442248</v>
      </c>
      <c r="J17" s="9">
        <f t="shared" si="0"/>
        <v>-9.4634422538319996E-6</v>
      </c>
      <c r="K17" s="7">
        <v>16.993755199999999</v>
      </c>
      <c r="L17" s="5">
        <v>16.95319937085943</v>
      </c>
      <c r="M17" s="9">
        <f t="shared" si="1"/>
        <v>4.0555829140568989E-2</v>
      </c>
      <c r="N17" s="7">
        <v>165.32207500000001</v>
      </c>
      <c r="O17" s="5">
        <v>165.32209516402858</v>
      </c>
      <c r="P17" s="9">
        <f t="shared" si="2"/>
        <v>-2.0164028569524817E-5</v>
      </c>
      <c r="Q17" s="7">
        <v>124.00209599999999</v>
      </c>
      <c r="R17" s="5">
        <v>124.00211155250339</v>
      </c>
      <c r="S17" s="9">
        <f t="shared" si="3"/>
        <v>-1.5552503398907902E-5</v>
      </c>
      <c r="T17" s="7">
        <v>6.2279237600000004</v>
      </c>
      <c r="U17" s="5">
        <v>6.2279245161038368</v>
      </c>
      <c r="V17" s="9">
        <f t="shared" si="4"/>
        <v>-7.5610383643009982E-7</v>
      </c>
      <c r="W17" s="7">
        <v>194.62261699999999</v>
      </c>
      <c r="X17" s="5">
        <v>194.62264112824491</v>
      </c>
      <c r="Y17" s="9">
        <f t="shared" si="5"/>
        <v>-2.4128244916710173E-5</v>
      </c>
      <c r="Z17" s="7">
        <v>5.0457257200000001</v>
      </c>
      <c r="AA17" s="5">
        <v>5.0457263344668517</v>
      </c>
      <c r="AB17" s="10">
        <f t="shared" si="6"/>
        <v>-6.1446685162280801E-7</v>
      </c>
      <c r="AC17" s="7">
        <v>157.67892900000001</v>
      </c>
      <c r="AD17" s="5">
        <v>157.67894795208912</v>
      </c>
      <c r="AE17" s="9">
        <f t="shared" si="7"/>
        <v>-1.8952089106960557E-5</v>
      </c>
    </row>
    <row r="18" spans="1:31" x14ac:dyDescent="0.3">
      <c r="A18">
        <v>1</v>
      </c>
      <c r="B18" s="1">
        <v>0.52180555555555552</v>
      </c>
      <c r="C18">
        <v>4</v>
      </c>
      <c r="D18">
        <v>82.72</v>
      </c>
      <c r="E18">
        <v>28.34</v>
      </c>
      <c r="F18">
        <v>11100</v>
      </c>
      <c r="G18">
        <v>29</v>
      </c>
      <c r="H18" s="7">
        <v>81.040965999999997</v>
      </c>
      <c r="I18" s="8">
        <v>81.04097547380097</v>
      </c>
      <c r="J18" s="9">
        <f t="shared" si="0"/>
        <v>-9.4738009721595517E-6</v>
      </c>
      <c r="K18" s="7">
        <v>16.978082300000001</v>
      </c>
      <c r="L18" s="5">
        <v>16.937563874024402</v>
      </c>
      <c r="M18" s="9">
        <f t="shared" si="1"/>
        <v>4.0518425975598404E-2</v>
      </c>
      <c r="N18" s="7">
        <v>165.169603</v>
      </c>
      <c r="O18" s="5">
        <v>165.16962287610519</v>
      </c>
      <c r="P18" s="9">
        <f t="shared" si="2"/>
        <v>-1.9876105199045924E-5</v>
      </c>
      <c r="Q18" s="7">
        <v>123.887732</v>
      </c>
      <c r="R18" s="5">
        <v>123.88774761562621</v>
      </c>
      <c r="S18" s="9">
        <f t="shared" si="3"/>
        <v>-1.561562621077428E-5</v>
      </c>
      <c r="T18" s="7">
        <v>6.2221799000000004</v>
      </c>
      <c r="U18" s="5">
        <v>6.2221806625732929</v>
      </c>
      <c r="V18" s="9">
        <f t="shared" si="4"/>
        <v>-7.6257329251205874E-7</v>
      </c>
      <c r="W18" s="7">
        <v>194.44312199999999</v>
      </c>
      <c r="X18" s="5">
        <v>194.44314570541542</v>
      </c>
      <c r="Y18" s="9">
        <f t="shared" si="5"/>
        <v>-2.3705415429731147E-5</v>
      </c>
      <c r="Z18" s="7">
        <v>5.0410721799999996</v>
      </c>
      <c r="AA18" s="5">
        <v>5.0410727917102793</v>
      </c>
      <c r="AB18" s="10">
        <f t="shared" si="6"/>
        <v>-6.1171027976314463E-7</v>
      </c>
      <c r="AC18" s="7">
        <v>157.53350599999999</v>
      </c>
      <c r="AD18" s="5">
        <v>157.53352474094623</v>
      </c>
      <c r="AE18" s="9">
        <f t="shared" si="7"/>
        <v>-1.8740946245543455E-5</v>
      </c>
    </row>
    <row r="19" spans="1:31" x14ac:dyDescent="0.3">
      <c r="A19">
        <v>1</v>
      </c>
      <c r="B19" s="1">
        <v>0.52197916666666666</v>
      </c>
      <c r="C19">
        <v>4.25</v>
      </c>
      <c r="D19">
        <v>83.6</v>
      </c>
      <c r="E19">
        <v>28.23</v>
      </c>
      <c r="F19">
        <v>11102</v>
      </c>
      <c r="G19">
        <v>29</v>
      </c>
      <c r="H19" s="7">
        <v>81.868547000000007</v>
      </c>
      <c r="I19" s="8">
        <v>81.868556613924667</v>
      </c>
      <c r="J19" s="9">
        <f t="shared" si="0"/>
        <v>-9.6139246608117901E-6</v>
      </c>
      <c r="K19" s="7">
        <v>17.151460499999999</v>
      </c>
      <c r="L19" s="5">
        <v>17.110528332310256</v>
      </c>
      <c r="M19" s="9">
        <f t="shared" si="1"/>
        <v>4.0932167689742727E-2</v>
      </c>
      <c r="N19" s="7">
        <v>166.85629599999999</v>
      </c>
      <c r="O19" s="5">
        <v>166.8563161077013</v>
      </c>
      <c r="P19" s="9">
        <f t="shared" si="2"/>
        <v>-2.0107701317328974E-5</v>
      </c>
      <c r="Q19" s="7">
        <v>125.15286</v>
      </c>
      <c r="R19" s="5">
        <v>125.15287507515735</v>
      </c>
      <c r="S19" s="9">
        <f t="shared" si="3"/>
        <v>-1.5075157349997426E-5</v>
      </c>
      <c r="T19" s="7">
        <v>6.2857200899999999</v>
      </c>
      <c r="U19" s="5">
        <v>6.2857208573535575</v>
      </c>
      <c r="V19" s="9">
        <f t="shared" si="4"/>
        <v>-7.6735355758472679E-7</v>
      </c>
      <c r="W19" s="7">
        <v>196.428753</v>
      </c>
      <c r="X19" s="5">
        <v>196.42877679229866</v>
      </c>
      <c r="Y19" s="9">
        <f t="shared" si="5"/>
        <v>-2.3792298662783651E-5</v>
      </c>
      <c r="Z19" s="7">
        <v>5.0925510300000001</v>
      </c>
      <c r="AA19" s="5">
        <v>5.0925516484740267</v>
      </c>
      <c r="AB19" s="10">
        <f t="shared" si="6"/>
        <v>-6.1847402665904383E-7</v>
      </c>
      <c r="AC19" s="7">
        <v>159.14222000000001</v>
      </c>
      <c r="AD19" s="5">
        <v>159.14223901481333</v>
      </c>
      <c r="AE19" s="9">
        <f t="shared" si="7"/>
        <v>-1.9014813318563029E-5</v>
      </c>
    </row>
    <row r="20" spans="1:31" x14ac:dyDescent="0.3">
      <c r="A20">
        <v>1</v>
      </c>
      <c r="B20" s="1">
        <v>0.5221527777777778</v>
      </c>
      <c r="C20">
        <v>4.5</v>
      </c>
      <c r="D20">
        <v>82.82</v>
      </c>
      <c r="E20">
        <v>28.33</v>
      </c>
      <c r="F20">
        <v>11087</v>
      </c>
      <c r="G20">
        <v>29</v>
      </c>
      <c r="H20" s="7">
        <v>81.115776999999994</v>
      </c>
      <c r="I20" s="8">
        <v>81.115786463442248</v>
      </c>
      <c r="J20" s="9">
        <f t="shared" si="0"/>
        <v>-9.4634422538319996E-6</v>
      </c>
      <c r="K20" s="7">
        <v>16.993755199999999</v>
      </c>
      <c r="L20" s="5">
        <v>16.95319937085943</v>
      </c>
      <c r="M20" s="9">
        <f t="shared" si="1"/>
        <v>4.0555829140568989E-2</v>
      </c>
      <c r="N20" s="7">
        <v>165.32207500000001</v>
      </c>
      <c r="O20" s="5">
        <v>165.32209516402858</v>
      </c>
      <c r="P20" s="9">
        <f t="shared" si="2"/>
        <v>-2.0164028569524817E-5</v>
      </c>
      <c r="Q20" s="7">
        <v>124.00209599999999</v>
      </c>
      <c r="R20" s="5">
        <v>124.00211155250339</v>
      </c>
      <c r="S20" s="9">
        <f t="shared" si="3"/>
        <v>-1.5552503398907902E-5</v>
      </c>
      <c r="T20" s="7">
        <v>6.2279237600000004</v>
      </c>
      <c r="U20" s="5">
        <v>6.2279245161038368</v>
      </c>
      <c r="V20" s="9">
        <f t="shared" si="4"/>
        <v>-7.5610383643009982E-7</v>
      </c>
      <c r="W20" s="7">
        <v>194.62261699999999</v>
      </c>
      <c r="X20" s="5">
        <v>194.62264112824491</v>
      </c>
      <c r="Y20" s="9">
        <f t="shared" si="5"/>
        <v>-2.4128244916710173E-5</v>
      </c>
      <c r="Z20" s="7">
        <v>5.0457257200000001</v>
      </c>
      <c r="AA20" s="5">
        <v>5.0457263344668517</v>
      </c>
      <c r="AB20" s="10">
        <f t="shared" si="6"/>
        <v>-6.1446685162280801E-7</v>
      </c>
      <c r="AC20" s="7">
        <v>157.67892900000001</v>
      </c>
      <c r="AD20" s="5">
        <v>157.67894795208912</v>
      </c>
      <c r="AE20" s="9">
        <f t="shared" si="7"/>
        <v>-1.8952089106960557E-5</v>
      </c>
    </row>
    <row r="21" spans="1:31" x14ac:dyDescent="0.3">
      <c r="A21">
        <v>1</v>
      </c>
      <c r="B21" s="1">
        <v>0.52232638888888883</v>
      </c>
      <c r="C21">
        <v>4.75</v>
      </c>
      <c r="D21">
        <v>83.89</v>
      </c>
      <c r="E21">
        <v>28.19</v>
      </c>
      <c r="F21">
        <v>11082</v>
      </c>
      <c r="G21">
        <v>29</v>
      </c>
      <c r="H21" s="7">
        <v>82.172044999999997</v>
      </c>
      <c r="I21" s="8">
        <v>82.172054620342621</v>
      </c>
      <c r="J21" s="9">
        <f t="shared" si="0"/>
        <v>-9.6203426238616885E-6</v>
      </c>
      <c r="K21" s="7">
        <v>17.215043300000001</v>
      </c>
      <c r="L21" s="5">
        <v>17.173959415651606</v>
      </c>
      <c r="M21" s="9">
        <f t="shared" si="1"/>
        <v>4.1083884348395827E-2</v>
      </c>
      <c r="N21" s="7">
        <v>167.47485499999999</v>
      </c>
      <c r="O21" s="5">
        <v>167.47487543488893</v>
      </c>
      <c r="P21" s="9">
        <f t="shared" si="2"/>
        <v>-2.0434888938325457E-5</v>
      </c>
      <c r="Q21" s="7">
        <v>125.61681900000001</v>
      </c>
      <c r="R21" s="5">
        <v>125.61683400705729</v>
      </c>
      <c r="S21" s="9">
        <f t="shared" si="3"/>
        <v>-1.5007057285743031E-5</v>
      </c>
      <c r="T21" s="7">
        <v>6.3090221199999998</v>
      </c>
      <c r="U21" s="5">
        <v>6.3090228896356573</v>
      </c>
      <c r="V21" s="9">
        <f t="shared" si="4"/>
        <v>-7.69635657427159E-7</v>
      </c>
      <c r="W21" s="7">
        <v>197.15694099999999</v>
      </c>
      <c r="X21" s="5">
        <v>197.1569653011143</v>
      </c>
      <c r="Y21" s="9">
        <f t="shared" si="5"/>
        <v>-2.4301114308400429E-5</v>
      </c>
      <c r="Z21" s="7">
        <v>5.1114298099999997</v>
      </c>
      <c r="AA21" s="5">
        <v>5.1114304382905003</v>
      </c>
      <c r="AB21" s="10">
        <f t="shared" si="6"/>
        <v>-6.2829050051504964E-7</v>
      </c>
      <c r="AC21" s="7">
        <v>159.73218199999999</v>
      </c>
      <c r="AD21" s="5">
        <v>159.73220119657813</v>
      </c>
      <c r="AE21" s="9">
        <f t="shared" si="7"/>
        <v>-1.9196578136870812E-5</v>
      </c>
    </row>
    <row r="22" spans="1:31" x14ac:dyDescent="0.3">
      <c r="A22">
        <v>1</v>
      </c>
      <c r="B22" s="1">
        <v>0.52249999999999996</v>
      </c>
      <c r="C22">
        <v>5</v>
      </c>
      <c r="D22">
        <v>83.34</v>
      </c>
      <c r="E22">
        <v>28.26</v>
      </c>
      <c r="F22">
        <v>11072</v>
      </c>
      <c r="G22">
        <v>29</v>
      </c>
      <c r="H22" s="7">
        <v>81.641822000000005</v>
      </c>
      <c r="I22" s="8">
        <v>81.641832403296604</v>
      </c>
      <c r="J22" s="9">
        <f t="shared" si="0"/>
        <v>-1.0403296599292844E-5</v>
      </c>
      <c r="K22" s="7">
        <v>17.1039618</v>
      </c>
      <c r="L22" s="5">
        <v>17.06314297228899</v>
      </c>
      <c r="M22" s="9">
        <f t="shared" si="1"/>
        <v>4.0818827711010641E-2</v>
      </c>
      <c r="N22" s="7">
        <v>166.39420899999999</v>
      </c>
      <c r="O22" s="5">
        <v>166.39422946390928</v>
      </c>
      <c r="P22" s="9">
        <f t="shared" si="2"/>
        <v>-2.0463909294221594E-5</v>
      </c>
      <c r="Q22" s="7">
        <v>124.806265</v>
      </c>
      <c r="R22" s="5">
        <v>124.80628063178565</v>
      </c>
      <c r="S22" s="9">
        <f t="shared" si="3"/>
        <v>-1.5631785657888031E-5</v>
      </c>
      <c r="T22" s="7">
        <v>6.2683126099999997</v>
      </c>
      <c r="U22" s="5">
        <v>6.2683133793356856</v>
      </c>
      <c r="V22" s="9">
        <f t="shared" si="4"/>
        <v>-7.6933568582404632E-7</v>
      </c>
      <c r="W22" s="7">
        <v>195.88476900000001</v>
      </c>
      <c r="X22" s="5">
        <v>195.88479310424017</v>
      </c>
      <c r="Y22" s="9">
        <f t="shared" si="5"/>
        <v>-2.4104240168298929E-5</v>
      </c>
      <c r="Z22" s="7">
        <v>5.0784478799999997</v>
      </c>
      <c r="AA22" s="5">
        <v>5.0784484958066631</v>
      </c>
      <c r="AB22" s="10">
        <f t="shared" si="6"/>
        <v>-6.1580666343985513E-7</v>
      </c>
      <c r="AC22" s="7">
        <v>158.70149599999999</v>
      </c>
      <c r="AD22" s="5">
        <v>158.70151549395823</v>
      </c>
      <c r="AE22" s="9">
        <f t="shared" si="7"/>
        <v>-1.9493958234306774E-5</v>
      </c>
    </row>
    <row r="23" spans="1:31" x14ac:dyDescent="0.3">
      <c r="A23">
        <v>1</v>
      </c>
      <c r="B23" s="1">
        <v>0.5226736111111111</v>
      </c>
      <c r="C23">
        <v>5.25</v>
      </c>
      <c r="D23">
        <v>82.86</v>
      </c>
      <c r="E23">
        <v>28.32</v>
      </c>
      <c r="F23">
        <v>11071</v>
      </c>
      <c r="G23">
        <v>29</v>
      </c>
      <c r="H23" s="7">
        <v>81.190672000000006</v>
      </c>
      <c r="I23" s="8">
        <v>81.190681812970041</v>
      </c>
      <c r="J23" s="9">
        <f t="shared" si="0"/>
        <v>-9.8129700347726612E-6</v>
      </c>
      <c r="K23" s="7">
        <v>17.009445800000002</v>
      </c>
      <c r="L23" s="5">
        <v>16.968852498910739</v>
      </c>
      <c r="M23" s="9">
        <f t="shared" si="1"/>
        <v>4.0593301089263178E-2</v>
      </c>
      <c r="N23" s="7">
        <v>165.47471899999999</v>
      </c>
      <c r="O23" s="5">
        <v>165.47473938584795</v>
      </c>
      <c r="P23" s="9">
        <f t="shared" si="2"/>
        <v>-2.0385847960824321E-5</v>
      </c>
      <c r="Q23" s="7">
        <v>124.116589</v>
      </c>
      <c r="R23" s="5">
        <v>124.11660445076427</v>
      </c>
      <c r="S23" s="9">
        <f t="shared" si="3"/>
        <v>-1.5450764266233818E-5</v>
      </c>
      <c r="T23" s="7">
        <v>6.2336740900000001</v>
      </c>
      <c r="U23" s="5">
        <v>6.2336748466350764</v>
      </c>
      <c r="V23" s="9">
        <f t="shared" si="4"/>
        <v>-7.5663507637102612E-7</v>
      </c>
      <c r="W23" s="7">
        <v>194.80231499999999</v>
      </c>
      <c r="X23" s="5">
        <v>194.80233895734614</v>
      </c>
      <c r="Y23" s="9">
        <f t="shared" si="5"/>
        <v>-2.3957346144243274E-5</v>
      </c>
      <c r="Z23" s="7">
        <v>5.0503845099999998</v>
      </c>
      <c r="AA23" s="5">
        <v>5.0503851247457536</v>
      </c>
      <c r="AB23" s="10">
        <f t="shared" si="6"/>
        <v>-6.1474575385744856E-7</v>
      </c>
      <c r="AC23" s="7">
        <v>157.82451599999999</v>
      </c>
      <c r="AD23" s="5">
        <v>157.82453514830479</v>
      </c>
      <c r="AE23" s="9">
        <f t="shared" si="7"/>
        <v>-1.9148304801319682E-5</v>
      </c>
    </row>
    <row r="24" spans="1:31" x14ac:dyDescent="0.3">
      <c r="A24">
        <v>1</v>
      </c>
      <c r="B24" s="1">
        <v>0.52284722222222224</v>
      </c>
      <c r="C24">
        <v>5.5</v>
      </c>
      <c r="D24">
        <v>83.59</v>
      </c>
      <c r="E24">
        <v>28.23</v>
      </c>
      <c r="F24">
        <v>11077</v>
      </c>
      <c r="G24">
        <v>29</v>
      </c>
      <c r="H24" s="7">
        <v>81.868547000000007</v>
      </c>
      <c r="I24" s="8">
        <v>81.868556613924667</v>
      </c>
      <c r="J24" s="9">
        <f t="shared" si="0"/>
        <v>-9.6139246608117901E-6</v>
      </c>
      <c r="K24" s="7">
        <v>17.151460499999999</v>
      </c>
      <c r="L24" s="5">
        <v>17.110528332310256</v>
      </c>
      <c r="M24" s="9">
        <f t="shared" si="1"/>
        <v>4.0932167689742727E-2</v>
      </c>
      <c r="N24" s="7">
        <v>166.85629599999999</v>
      </c>
      <c r="O24" s="5">
        <v>166.8563161077013</v>
      </c>
      <c r="P24" s="9">
        <f t="shared" si="2"/>
        <v>-2.0107701317328974E-5</v>
      </c>
      <c r="Q24" s="7">
        <v>125.15286</v>
      </c>
      <c r="R24" s="5">
        <v>125.15287507515735</v>
      </c>
      <c r="S24" s="9">
        <f t="shared" si="3"/>
        <v>-1.5075157349997426E-5</v>
      </c>
      <c r="T24" s="7">
        <v>6.2857200899999999</v>
      </c>
      <c r="U24" s="5">
        <v>6.2857208573535575</v>
      </c>
      <c r="V24" s="9">
        <f t="shared" si="4"/>
        <v>-7.6735355758472679E-7</v>
      </c>
      <c r="W24" s="7">
        <v>196.428753</v>
      </c>
      <c r="X24" s="5">
        <v>196.42877679229866</v>
      </c>
      <c r="Y24" s="9">
        <f t="shared" si="5"/>
        <v>-2.3792298662783651E-5</v>
      </c>
      <c r="Z24" s="7">
        <v>5.0925510300000001</v>
      </c>
      <c r="AA24" s="5">
        <v>5.0925516484740267</v>
      </c>
      <c r="AB24" s="10">
        <f t="shared" si="6"/>
        <v>-6.1847402665904383E-7</v>
      </c>
      <c r="AC24" s="7">
        <v>159.14222000000001</v>
      </c>
      <c r="AD24" s="5">
        <v>159.14223901481333</v>
      </c>
      <c r="AE24" s="9">
        <f t="shared" si="7"/>
        <v>-1.9014813318563029E-5</v>
      </c>
    </row>
    <row r="25" spans="1:31" x14ac:dyDescent="0.3">
      <c r="A25">
        <v>1</v>
      </c>
      <c r="B25" s="1">
        <v>0.52302083333333338</v>
      </c>
      <c r="C25">
        <v>5.75</v>
      </c>
      <c r="D25">
        <v>83.63</v>
      </c>
      <c r="E25">
        <v>28.22</v>
      </c>
      <c r="F25">
        <v>11081</v>
      </c>
      <c r="G25">
        <v>29</v>
      </c>
      <c r="H25" s="7">
        <v>81.944292000000004</v>
      </c>
      <c r="I25" s="8">
        <v>81.944302393649437</v>
      </c>
      <c r="J25" s="9">
        <f t="shared" si="0"/>
        <v>-1.0393649432671737E-5</v>
      </c>
      <c r="K25" s="7">
        <v>17.167329299999999</v>
      </c>
      <c r="L25" s="5">
        <v>17.126359200272731</v>
      </c>
      <c r="M25" s="9">
        <f t="shared" si="1"/>
        <v>4.097009972726795E-2</v>
      </c>
      <c r="N25" s="7">
        <v>167.010673</v>
      </c>
      <c r="O25" s="5">
        <v>167.01069359141806</v>
      </c>
      <c r="P25" s="9">
        <f t="shared" si="2"/>
        <v>-2.0591418063986566E-5</v>
      </c>
      <c r="Q25" s="7">
        <v>125.268653</v>
      </c>
      <c r="R25" s="5">
        <v>125.26866803034612</v>
      </c>
      <c r="S25" s="9">
        <f t="shared" si="3"/>
        <v>-1.5030346119715432E-5</v>
      </c>
      <c r="T25" s="7">
        <v>6.2915357099999998</v>
      </c>
      <c r="U25" s="5">
        <v>6.2915364823891604</v>
      </c>
      <c r="V25" s="9">
        <f t="shared" si="4"/>
        <v>-7.7238916063038232E-7</v>
      </c>
      <c r="W25" s="7">
        <v>196.610491</v>
      </c>
      <c r="X25" s="5">
        <v>196.61051507466127</v>
      </c>
      <c r="Y25" s="9">
        <f t="shared" si="5"/>
        <v>-2.4074661268969066E-5</v>
      </c>
      <c r="Z25" s="7">
        <v>5.0972627199999998</v>
      </c>
      <c r="AA25" s="5">
        <v>5.0972633389124136</v>
      </c>
      <c r="AB25" s="10">
        <f t="shared" si="6"/>
        <v>-6.1891241376343942E-7</v>
      </c>
      <c r="AC25" s="7">
        <v>159.28945999999999</v>
      </c>
      <c r="AD25" s="5">
        <v>159.28947934101294</v>
      </c>
      <c r="AE25" s="9">
        <f t="shared" si="7"/>
        <v>-1.9341012944096292E-5</v>
      </c>
    </row>
    <row r="26" spans="1:31" x14ac:dyDescent="0.3">
      <c r="A26">
        <v>1</v>
      </c>
      <c r="B26" s="1">
        <v>0.52319444444444441</v>
      </c>
      <c r="C26">
        <v>6</v>
      </c>
      <c r="D26">
        <v>84.16</v>
      </c>
      <c r="E26">
        <v>28.15</v>
      </c>
      <c r="F26">
        <v>11049</v>
      </c>
      <c r="G26">
        <v>29</v>
      </c>
      <c r="H26" s="7">
        <v>82.476920000000007</v>
      </c>
      <c r="I26" s="8">
        <v>82.476930371972188</v>
      </c>
      <c r="J26" s="9">
        <f t="shared" si="0"/>
        <v>-1.0371972180678313E-5</v>
      </c>
      <c r="K26" s="7">
        <v>17.278914799999999</v>
      </c>
      <c r="L26" s="5">
        <v>17.237678447742187</v>
      </c>
      <c r="M26" s="9">
        <f t="shared" si="1"/>
        <v>4.1236352257811859E-2</v>
      </c>
      <c r="N26" s="7">
        <v>168.09622200000001</v>
      </c>
      <c r="O26" s="5">
        <v>168.09624274477531</v>
      </c>
      <c r="P26" s="9">
        <f t="shared" si="2"/>
        <v>-2.0744775298453533E-5</v>
      </c>
      <c r="Q26" s="7">
        <v>126.08288400000001</v>
      </c>
      <c r="R26" s="5">
        <v>126.0828991050054</v>
      </c>
      <c r="S26" s="9">
        <f t="shared" si="3"/>
        <v>-1.510500538870474E-5</v>
      </c>
      <c r="T26" s="7">
        <v>6.33242993</v>
      </c>
      <c r="U26" s="5">
        <v>6.3324307027226343</v>
      </c>
      <c r="V26" s="9">
        <f t="shared" si="4"/>
        <v>-7.7272263432348609E-7</v>
      </c>
      <c r="W26" s="7">
        <v>197.88843499999999</v>
      </c>
      <c r="X26" s="5">
        <v>197.88845946008232</v>
      </c>
      <c r="Y26" s="9">
        <f t="shared" si="5"/>
        <v>-2.446008232936947E-5</v>
      </c>
      <c r="Z26" s="7">
        <v>5.1303942999999999</v>
      </c>
      <c r="AA26" s="5">
        <v>5.1303949293693236</v>
      </c>
      <c r="AB26" s="10">
        <f t="shared" si="6"/>
        <v>-6.2936932376800314E-7</v>
      </c>
      <c r="AC26" s="7">
        <v>160.32482200000001</v>
      </c>
      <c r="AD26" s="5">
        <v>160.32484154279138</v>
      </c>
      <c r="AE26" s="9">
        <f t="shared" si="7"/>
        <v>-1.9542791363846845E-5</v>
      </c>
    </row>
    <row r="27" spans="1:31" x14ac:dyDescent="0.3">
      <c r="A27">
        <v>1</v>
      </c>
      <c r="B27" s="1">
        <v>0.52336805555555554</v>
      </c>
      <c r="C27">
        <v>6.25</v>
      </c>
      <c r="D27">
        <v>83.17</v>
      </c>
      <c r="E27">
        <v>28.28</v>
      </c>
      <c r="F27">
        <v>11053</v>
      </c>
      <c r="G27">
        <v>29</v>
      </c>
      <c r="H27" s="7">
        <v>81.491099000000006</v>
      </c>
      <c r="I27" s="8">
        <v>81.491109284890683</v>
      </c>
      <c r="J27" s="9">
        <f t="shared" si="0"/>
        <v>-1.0284890677780822E-5</v>
      </c>
      <c r="K27" s="7">
        <v>17.072385300000001</v>
      </c>
      <c r="L27" s="5">
        <v>17.03164184054215</v>
      </c>
      <c r="M27" s="9">
        <f t="shared" si="1"/>
        <v>4.0743459457850406E-2</v>
      </c>
      <c r="N27" s="7">
        <v>166.08702</v>
      </c>
      <c r="O27" s="5">
        <v>166.08704065626884</v>
      </c>
      <c r="P27" s="9">
        <f t="shared" si="2"/>
        <v>-2.065626884473204E-5</v>
      </c>
      <c r="Q27" s="7">
        <v>124.57585400000001</v>
      </c>
      <c r="R27" s="5">
        <v>124.57586944110412</v>
      </c>
      <c r="S27" s="9">
        <f t="shared" si="3"/>
        <v>-1.5441104110891501E-5</v>
      </c>
      <c r="T27" s="7">
        <v>6.2567403600000002</v>
      </c>
      <c r="U27" s="5">
        <v>6.2567411287887857</v>
      </c>
      <c r="V27" s="9">
        <f t="shared" si="4"/>
        <v>-7.6878878552122387E-7</v>
      </c>
      <c r="W27" s="7">
        <v>195.52313599999999</v>
      </c>
      <c r="X27" s="5">
        <v>195.52316027464954</v>
      </c>
      <c r="Y27" s="9">
        <f t="shared" si="5"/>
        <v>-2.4274649547351146E-5</v>
      </c>
      <c r="Z27" s="7">
        <v>5.0690723000000002</v>
      </c>
      <c r="AA27" s="5">
        <v>5.0690729150361253</v>
      </c>
      <c r="AB27" s="10">
        <f t="shared" si="6"/>
        <v>-6.150361251400227E-7</v>
      </c>
      <c r="AC27" s="7">
        <v>158.40850900000001</v>
      </c>
      <c r="AD27" s="5">
        <v>158.40852859487893</v>
      </c>
      <c r="AE27" s="9">
        <f t="shared" si="7"/>
        <v>-1.9594878921225245E-5</v>
      </c>
    </row>
    <row r="28" spans="1:31" x14ac:dyDescent="0.3">
      <c r="A28">
        <v>1</v>
      </c>
      <c r="B28" s="1">
        <v>0.52354166666666668</v>
      </c>
      <c r="C28">
        <v>6.5</v>
      </c>
      <c r="D28">
        <v>82.33</v>
      </c>
      <c r="E28">
        <v>28.39</v>
      </c>
      <c r="F28">
        <v>11072</v>
      </c>
      <c r="G28">
        <v>29</v>
      </c>
      <c r="H28" s="7">
        <v>80.668171999999998</v>
      </c>
      <c r="I28" s="8">
        <v>80.668181612245547</v>
      </c>
      <c r="J28" s="9">
        <f t="shared" si="0"/>
        <v>-9.612245548851206E-6</v>
      </c>
      <c r="K28" s="7">
        <v>16.899982000000001</v>
      </c>
      <c r="L28" s="5">
        <v>16.859649956959316</v>
      </c>
      <c r="M28" s="9">
        <f t="shared" si="1"/>
        <v>4.0332043040685051E-2</v>
      </c>
      <c r="N28" s="7">
        <v>164.40981199999999</v>
      </c>
      <c r="O28" s="5">
        <v>164.40983165735875</v>
      </c>
      <c r="P28" s="9">
        <f t="shared" si="2"/>
        <v>-1.9657358762970034E-5</v>
      </c>
      <c r="Q28" s="7">
        <v>123.317841</v>
      </c>
      <c r="R28" s="5">
        <v>123.31785576075872</v>
      </c>
      <c r="S28" s="9">
        <f t="shared" si="3"/>
        <v>-1.4760758716647615E-5</v>
      </c>
      <c r="T28" s="7">
        <v>6.1935574600000001</v>
      </c>
      <c r="U28" s="5">
        <v>6.1935582188905158</v>
      </c>
      <c r="V28" s="9">
        <f t="shared" si="4"/>
        <v>-7.5889051576183419E-7</v>
      </c>
      <c r="W28" s="7">
        <v>193.54867100000001</v>
      </c>
      <c r="X28" s="5">
        <v>193.54869434032861</v>
      </c>
      <c r="Y28" s="9">
        <f t="shared" si="5"/>
        <v>-2.3340328596077597E-5</v>
      </c>
      <c r="Z28" s="7">
        <v>5.01788291</v>
      </c>
      <c r="AA28" s="5">
        <v>5.0178835225607346</v>
      </c>
      <c r="AB28" s="10">
        <f t="shared" si="6"/>
        <v>-6.1256073458082483E-7</v>
      </c>
      <c r="AC28" s="7">
        <v>156.808841</v>
      </c>
      <c r="AD28" s="5">
        <v>156.80886008002295</v>
      </c>
      <c r="AE28" s="9">
        <f t="shared" si="7"/>
        <v>-1.908002295181177E-5</v>
      </c>
    </row>
    <row r="29" spans="1:31" x14ac:dyDescent="0.3">
      <c r="A29">
        <v>1</v>
      </c>
      <c r="B29" s="1">
        <v>0.52371527777777771</v>
      </c>
      <c r="C29">
        <v>6.75</v>
      </c>
      <c r="D29">
        <v>82.18</v>
      </c>
      <c r="E29">
        <v>28.41</v>
      </c>
      <c r="F29">
        <v>11054</v>
      </c>
      <c r="G29">
        <v>29</v>
      </c>
      <c r="H29" s="7">
        <v>80.519639999999995</v>
      </c>
      <c r="I29" s="8">
        <v>80.519650283656645</v>
      </c>
      <c r="J29" s="9">
        <f t="shared" si="0"/>
        <v>-1.0283656649789918E-5</v>
      </c>
      <c r="K29" s="7">
        <v>16.8688647</v>
      </c>
      <c r="L29" s="5">
        <v>16.828606909284236</v>
      </c>
      <c r="M29" s="9">
        <f t="shared" si="1"/>
        <v>4.025779071576352E-2</v>
      </c>
      <c r="N29" s="7">
        <v>164.10709</v>
      </c>
      <c r="O29" s="5">
        <v>164.10710993683546</v>
      </c>
      <c r="P29" s="9">
        <f t="shared" si="2"/>
        <v>-1.9936835457201596E-5</v>
      </c>
      <c r="Q29" s="7">
        <v>123.09078</v>
      </c>
      <c r="R29" s="5">
        <v>123.09079517021605</v>
      </c>
      <c r="S29" s="9">
        <f t="shared" si="3"/>
        <v>-1.5170216059345876E-5</v>
      </c>
      <c r="T29" s="7">
        <v>6.1821535000000001</v>
      </c>
      <c r="U29" s="5">
        <v>6.1821542500324291</v>
      </c>
      <c r="V29" s="9">
        <f t="shared" si="4"/>
        <v>-7.5003242905324896E-7</v>
      </c>
      <c r="W29" s="7">
        <v>193.192297</v>
      </c>
      <c r="X29" s="5">
        <v>193.19232031351342</v>
      </c>
      <c r="Y29" s="9">
        <f t="shared" si="5"/>
        <v>-2.3313513423772747E-5</v>
      </c>
      <c r="Z29" s="7">
        <v>5.0086436699999997</v>
      </c>
      <c r="AA29" s="5">
        <v>5.0086442798827129</v>
      </c>
      <c r="AB29" s="10">
        <f t="shared" si="6"/>
        <v>-6.0988271322059973E-7</v>
      </c>
      <c r="AC29" s="7">
        <v>156.520115</v>
      </c>
      <c r="AD29" s="5">
        <v>156.52013374633478</v>
      </c>
      <c r="AE29" s="9">
        <f t="shared" si="7"/>
        <v>-1.8746334774277784E-5</v>
      </c>
    </row>
    <row r="30" spans="1:31" x14ac:dyDescent="0.3">
      <c r="A30">
        <v>1</v>
      </c>
      <c r="B30" s="1">
        <v>0.52388888888888896</v>
      </c>
      <c r="C30">
        <v>7</v>
      </c>
      <c r="D30">
        <v>84.9</v>
      </c>
      <c r="E30">
        <v>28.06</v>
      </c>
      <c r="F30">
        <v>11036</v>
      </c>
      <c r="G30">
        <v>29</v>
      </c>
      <c r="H30" s="7">
        <v>83.167969999999997</v>
      </c>
      <c r="I30" s="8">
        <v>83.167980308658883</v>
      </c>
      <c r="J30" s="9">
        <f t="shared" si="0"/>
        <v>-1.0308658886515332E-5</v>
      </c>
      <c r="K30" s="7">
        <v>17.423689700000001</v>
      </c>
      <c r="L30" s="5">
        <v>17.382107884509704</v>
      </c>
      <c r="M30" s="9">
        <f t="shared" si="1"/>
        <v>4.1581815490296492E-2</v>
      </c>
      <c r="N30" s="7">
        <v>169.504651</v>
      </c>
      <c r="O30" s="5">
        <v>169.50467171251395</v>
      </c>
      <c r="P30" s="9">
        <f t="shared" si="2"/>
        <v>-2.0712513958187628E-5</v>
      </c>
      <c r="Q30" s="7">
        <v>127.139295</v>
      </c>
      <c r="R30" s="5">
        <v>127.13931062578865</v>
      </c>
      <c r="S30" s="9">
        <f t="shared" si="3"/>
        <v>-1.5625788648776506E-5</v>
      </c>
      <c r="T30" s="7">
        <v>6.3854875</v>
      </c>
      <c r="U30" s="5">
        <v>6.3854882767188217</v>
      </c>
      <c r="V30" s="9">
        <f t="shared" si="4"/>
        <v>-7.767188217044918E-7</v>
      </c>
      <c r="W30" s="7">
        <v>199.54648399999999</v>
      </c>
      <c r="X30" s="5">
        <v>199.54650864746318</v>
      </c>
      <c r="Y30" s="9">
        <f t="shared" si="5"/>
        <v>-2.4647463192195573E-5</v>
      </c>
      <c r="Z30" s="7">
        <v>5.1733803700000003</v>
      </c>
      <c r="AA30" s="5">
        <v>5.1733809992330873</v>
      </c>
      <c r="AB30" s="10">
        <f t="shared" si="6"/>
        <v>-6.2923308696838376E-7</v>
      </c>
      <c r="AC30" s="7">
        <v>161.668136</v>
      </c>
      <c r="AD30" s="5">
        <v>161.66815622603397</v>
      </c>
      <c r="AE30" s="9">
        <f t="shared" si="7"/>
        <v>-2.0226033967674084E-5</v>
      </c>
    </row>
    <row r="31" spans="1:31" x14ac:dyDescent="0.3">
      <c r="A31">
        <v>1</v>
      </c>
      <c r="B31" s="1">
        <v>0.52406249999999999</v>
      </c>
      <c r="C31">
        <v>7.25</v>
      </c>
      <c r="D31">
        <v>83.46</v>
      </c>
      <c r="E31">
        <v>28.24</v>
      </c>
      <c r="F31">
        <v>11037</v>
      </c>
      <c r="G31">
        <v>29</v>
      </c>
      <c r="H31" s="7">
        <v>81.792885999999996</v>
      </c>
      <c r="I31" s="8">
        <v>81.792896439213109</v>
      </c>
      <c r="J31" s="9">
        <f t="shared" si="0"/>
        <v>-1.0439213113500045E-5</v>
      </c>
      <c r="K31" s="7">
        <v>17.1356097</v>
      </c>
      <c r="L31" s="5">
        <v>17.09471535579554</v>
      </c>
      <c r="M31" s="9">
        <f t="shared" si="1"/>
        <v>4.0894344204460253E-2</v>
      </c>
      <c r="N31" s="7">
        <v>166.70209299999999</v>
      </c>
      <c r="O31" s="5">
        <v>166.70211309557334</v>
      </c>
      <c r="P31" s="9">
        <f t="shared" si="2"/>
        <v>-2.0095573347589379E-5</v>
      </c>
      <c r="Q31" s="7">
        <v>125.037198</v>
      </c>
      <c r="R31" s="5">
        <v>125.03721298478371</v>
      </c>
      <c r="S31" s="9">
        <f t="shared" si="3"/>
        <v>-1.4984783703653193E-5</v>
      </c>
      <c r="T31" s="7">
        <v>6.27991104</v>
      </c>
      <c r="U31" s="5">
        <v>6.2799118049172469</v>
      </c>
      <c r="V31" s="9">
        <f t="shared" si="4"/>
        <v>-7.6491724687599572E-7</v>
      </c>
      <c r="W31" s="7">
        <v>196.24722</v>
      </c>
      <c r="X31" s="5">
        <v>196.24724390366396</v>
      </c>
      <c r="Y31" s="9">
        <f t="shared" si="5"/>
        <v>-2.3903663958435573E-5</v>
      </c>
      <c r="Z31" s="7">
        <v>5.08784466</v>
      </c>
      <c r="AA31" s="5">
        <v>5.0878452830098331</v>
      </c>
      <c r="AB31" s="10">
        <f t="shared" si="6"/>
        <v>-6.2300983305618729E-7</v>
      </c>
      <c r="AC31" s="7">
        <v>158.99514600000001</v>
      </c>
      <c r="AD31" s="5">
        <v>158.99516509405728</v>
      </c>
      <c r="AE31" s="9">
        <f t="shared" si="7"/>
        <v>-1.90940572792897E-5</v>
      </c>
    </row>
    <row r="32" spans="1:31" x14ac:dyDescent="0.3">
      <c r="A32">
        <v>1</v>
      </c>
      <c r="B32" s="1">
        <v>0.52423611111111112</v>
      </c>
      <c r="C32">
        <v>7.5</v>
      </c>
      <c r="D32">
        <v>83.67</v>
      </c>
      <c r="E32">
        <v>28.22</v>
      </c>
      <c r="F32">
        <v>11036</v>
      </c>
      <c r="G32">
        <v>29</v>
      </c>
      <c r="H32" s="7">
        <v>81.944292000000004</v>
      </c>
      <c r="I32" s="8">
        <v>81.944302393649437</v>
      </c>
      <c r="J32" s="9">
        <f t="shared" si="0"/>
        <v>-1.0393649432671737E-5</v>
      </c>
      <c r="K32" s="7">
        <v>17.167329299999999</v>
      </c>
      <c r="L32" s="5">
        <v>17.126359200272731</v>
      </c>
      <c r="M32" s="9">
        <f t="shared" si="1"/>
        <v>4.097009972726795E-2</v>
      </c>
      <c r="N32" s="7">
        <v>167.010673</v>
      </c>
      <c r="O32" s="5">
        <v>167.01069359141806</v>
      </c>
      <c r="P32" s="9">
        <f t="shared" si="2"/>
        <v>-2.0591418063986566E-5</v>
      </c>
      <c r="Q32" s="7">
        <v>125.268653</v>
      </c>
      <c r="R32" s="5">
        <v>125.26866803034612</v>
      </c>
      <c r="S32" s="9">
        <f t="shared" si="3"/>
        <v>-1.5030346119715432E-5</v>
      </c>
      <c r="T32" s="7">
        <v>6.2915357099999998</v>
      </c>
      <c r="U32" s="5">
        <v>6.2915364823891604</v>
      </c>
      <c r="V32" s="9">
        <f t="shared" si="4"/>
        <v>-7.7238916063038232E-7</v>
      </c>
      <c r="W32" s="7">
        <v>196.610491</v>
      </c>
      <c r="X32" s="5">
        <v>196.61051507466127</v>
      </c>
      <c r="Y32" s="9">
        <f t="shared" si="5"/>
        <v>-2.4074661268969066E-5</v>
      </c>
      <c r="Z32" s="7">
        <v>5.0972627199999998</v>
      </c>
      <c r="AA32" s="5">
        <v>5.0972633389124136</v>
      </c>
      <c r="AB32" s="10">
        <f t="shared" si="6"/>
        <v>-6.1891241376343942E-7</v>
      </c>
      <c r="AC32" s="7">
        <v>159.28945999999999</v>
      </c>
      <c r="AD32" s="5">
        <v>159.28947934101294</v>
      </c>
      <c r="AE32" s="9">
        <f t="shared" si="7"/>
        <v>-1.9341012944096292E-5</v>
      </c>
    </row>
    <row r="33" spans="1:31" x14ac:dyDescent="0.3">
      <c r="A33">
        <v>1</v>
      </c>
      <c r="B33" s="1">
        <v>0.52440972222222226</v>
      </c>
      <c r="C33">
        <v>7.75</v>
      </c>
      <c r="D33">
        <v>84.56</v>
      </c>
      <c r="E33">
        <v>28.1</v>
      </c>
      <c r="F33">
        <v>11000</v>
      </c>
      <c r="G33">
        <v>29</v>
      </c>
      <c r="H33" s="7">
        <v>82.859965000000003</v>
      </c>
      <c r="I33" s="8">
        <v>82.859974881975518</v>
      </c>
      <c r="J33" s="9">
        <f t="shared" si="0"/>
        <v>-9.8819755152135258E-6</v>
      </c>
      <c r="K33" s="7">
        <v>17.359162600000001</v>
      </c>
      <c r="L33" s="5">
        <v>17.317734750332882</v>
      </c>
      <c r="M33" s="9">
        <f t="shared" si="1"/>
        <v>4.1427849667119432E-2</v>
      </c>
      <c r="N33" s="7">
        <v>168.87690499999999</v>
      </c>
      <c r="O33" s="5">
        <v>168.87692581148477</v>
      </c>
      <c r="P33" s="9">
        <f t="shared" si="2"/>
        <v>-2.0811484773730626E-5</v>
      </c>
      <c r="Q33" s="7">
        <v>126.668446</v>
      </c>
      <c r="R33" s="5">
        <v>126.66846117781368</v>
      </c>
      <c r="S33" s="9">
        <f t="shared" si="3"/>
        <v>-1.5177813679656538E-5</v>
      </c>
      <c r="T33" s="7">
        <v>6.3618394</v>
      </c>
      <c r="U33" s="5">
        <v>6.3618401727976588</v>
      </c>
      <c r="V33" s="9">
        <f t="shared" si="4"/>
        <v>-7.7279765875459816E-7</v>
      </c>
      <c r="W33" s="7">
        <v>198.807481</v>
      </c>
      <c r="X33" s="5">
        <v>198.80750539992684</v>
      </c>
      <c r="Y33" s="9">
        <f t="shared" si="5"/>
        <v>-2.4399926843443609E-5</v>
      </c>
      <c r="Z33" s="7">
        <v>5.1542212000000003</v>
      </c>
      <c r="AA33" s="5">
        <v>5.1542218298490194</v>
      </c>
      <c r="AB33" s="10">
        <f t="shared" si="6"/>
        <v>-6.2984901916252056E-7</v>
      </c>
      <c r="AC33" s="7">
        <v>161.069413</v>
      </c>
      <c r="AD33" s="5">
        <v>161.06943218278187</v>
      </c>
      <c r="AE33" s="9">
        <f t="shared" si="7"/>
        <v>-1.9182781869631071E-5</v>
      </c>
    </row>
    <row r="34" spans="1:31" x14ac:dyDescent="0.3">
      <c r="A34">
        <v>1</v>
      </c>
      <c r="B34" s="1">
        <v>0.52458333333333329</v>
      </c>
      <c r="C34">
        <v>8</v>
      </c>
      <c r="D34">
        <v>82.25</v>
      </c>
      <c r="E34">
        <v>28.4</v>
      </c>
      <c r="F34">
        <v>11006</v>
      </c>
      <c r="G34">
        <v>29</v>
      </c>
      <c r="H34" s="7">
        <v>80.593863999999996</v>
      </c>
      <c r="I34" s="8">
        <v>80.59387419776111</v>
      </c>
      <c r="J34" s="9">
        <f t="shared" si="0"/>
        <v>-1.0197761113772685E-5</v>
      </c>
      <c r="K34" s="7">
        <v>16.884414599999999</v>
      </c>
      <c r="L34" s="5">
        <v>16.844119707332069</v>
      </c>
      <c r="M34" s="9">
        <f t="shared" si="1"/>
        <v>4.0294892667930071E-2</v>
      </c>
      <c r="N34" s="7">
        <v>164.258366</v>
      </c>
      <c r="O34" s="5">
        <v>164.25838570602934</v>
      </c>
      <c r="P34" s="9">
        <f t="shared" si="2"/>
        <v>-1.9706029348753873E-5</v>
      </c>
      <c r="Q34" s="7">
        <v>123.204247</v>
      </c>
      <c r="R34" s="5">
        <v>123.20426164176155</v>
      </c>
      <c r="S34" s="9">
        <f t="shared" si="3"/>
        <v>-1.4641761552525168E-5</v>
      </c>
      <c r="T34" s="7">
        <v>6.1878522699999996</v>
      </c>
      <c r="U34" s="5">
        <v>6.187853028956809</v>
      </c>
      <c r="V34" s="9">
        <f t="shared" si="4"/>
        <v>-7.5895680939908061E-7</v>
      </c>
      <c r="W34" s="7">
        <v>193.370384</v>
      </c>
      <c r="X34" s="5">
        <v>193.37040715490028</v>
      </c>
      <c r="Y34" s="9">
        <f t="shared" si="5"/>
        <v>-2.3154900276267654E-5</v>
      </c>
      <c r="Z34" s="7">
        <v>5.0132606900000001</v>
      </c>
      <c r="AA34" s="5">
        <v>5.0132613041929295</v>
      </c>
      <c r="AB34" s="10">
        <f t="shared" si="6"/>
        <v>-6.1419292940456671E-7</v>
      </c>
      <c r="AC34" s="7">
        <v>156.66439700000001</v>
      </c>
      <c r="AD34" s="5">
        <v>156.66441575602906</v>
      </c>
      <c r="AE34" s="9">
        <f t="shared" si="7"/>
        <v>-1.8756029049882272E-5</v>
      </c>
    </row>
    <row r="35" spans="1:31" x14ac:dyDescent="0.3">
      <c r="A35">
        <v>1</v>
      </c>
      <c r="B35" s="1">
        <v>0.52475694444444443</v>
      </c>
      <c r="C35">
        <v>8.25</v>
      </c>
      <c r="D35">
        <v>84.65</v>
      </c>
      <c r="E35">
        <v>28.09</v>
      </c>
      <c r="F35">
        <v>11005</v>
      </c>
      <c r="G35">
        <v>29</v>
      </c>
      <c r="H35" s="7">
        <v>82.936835000000002</v>
      </c>
      <c r="I35" s="8">
        <v>82.93684503568214</v>
      </c>
      <c r="J35" s="9">
        <f t="shared" si="0"/>
        <v>-1.003568213775452E-5</v>
      </c>
      <c r="K35" s="7">
        <v>17.3752669</v>
      </c>
      <c r="L35" s="5">
        <v>17.333800612457566</v>
      </c>
      <c r="M35" s="9">
        <f t="shared" si="1"/>
        <v>4.1466287542434088E-2</v>
      </c>
      <c r="N35" s="7">
        <v>169.03357399999999</v>
      </c>
      <c r="O35" s="5">
        <v>169.03359488196324</v>
      </c>
      <c r="P35" s="9">
        <f t="shared" si="2"/>
        <v>-2.0881963251895286E-5</v>
      </c>
      <c r="Q35" s="7">
        <v>126.785957</v>
      </c>
      <c r="R35" s="5">
        <v>126.78597296917481</v>
      </c>
      <c r="S35" s="9">
        <f t="shared" si="3"/>
        <v>-1.5969174810948061E-5</v>
      </c>
      <c r="T35" s="7">
        <v>6.3677413500000002</v>
      </c>
      <c r="U35" s="5">
        <v>6.3677421252498112</v>
      </c>
      <c r="V35" s="9">
        <f t="shared" si="4"/>
        <v>-7.75249811013623E-7</v>
      </c>
      <c r="W35" s="7">
        <v>198.991917</v>
      </c>
      <c r="X35" s="5">
        <v>198.99194141405661</v>
      </c>
      <c r="Y35" s="9">
        <f t="shared" si="5"/>
        <v>-2.4414056611021806E-5</v>
      </c>
      <c r="Z35" s="7">
        <v>5.1590028300000004</v>
      </c>
      <c r="AA35" s="5">
        <v>5.159003460845927</v>
      </c>
      <c r="AB35" s="10">
        <f t="shared" si="6"/>
        <v>-6.3084592660800354E-7</v>
      </c>
      <c r="AC35" s="7">
        <v>161.21883800000001</v>
      </c>
      <c r="AD35" s="5">
        <v>161.21885815143523</v>
      </c>
      <c r="AE35" s="9">
        <f t="shared" si="7"/>
        <v>-2.0151435222715008E-5</v>
      </c>
    </row>
    <row r="36" spans="1:31" x14ac:dyDescent="0.3">
      <c r="A36">
        <v>1</v>
      </c>
      <c r="B36" s="1">
        <v>0.52493055555555557</v>
      </c>
      <c r="C36">
        <v>8.5</v>
      </c>
      <c r="D36">
        <v>85.71</v>
      </c>
      <c r="E36">
        <v>27.96</v>
      </c>
      <c r="F36">
        <v>10991</v>
      </c>
      <c r="G36">
        <v>29</v>
      </c>
      <c r="H36" s="7">
        <v>83.944146000000003</v>
      </c>
      <c r="I36" s="8">
        <v>83.944155886866454</v>
      </c>
      <c r="J36" s="9">
        <f t="shared" si="0"/>
        <v>-9.8868664508700022E-6</v>
      </c>
      <c r="K36" s="7">
        <v>17.586298500000002</v>
      </c>
      <c r="L36" s="5">
        <v>17.544328580355089</v>
      </c>
      <c r="M36" s="9">
        <f t="shared" si="1"/>
        <v>4.1969919644913034E-2</v>
      </c>
      <c r="N36" s="7">
        <v>171.08657400000001</v>
      </c>
      <c r="O36" s="5">
        <v>171.08659526154173</v>
      </c>
      <c r="P36" s="9">
        <f t="shared" si="2"/>
        <v>-2.12615417183315E-5</v>
      </c>
      <c r="Q36" s="7">
        <v>128.325838</v>
      </c>
      <c r="R36" s="5">
        <v>128.32585414375851</v>
      </c>
      <c r="S36" s="9">
        <f t="shared" si="3"/>
        <v>-1.6143758500675176E-5</v>
      </c>
      <c r="T36" s="7">
        <v>6.44508086</v>
      </c>
      <c r="U36" s="5">
        <v>6.4450816447064279</v>
      </c>
      <c r="V36" s="9">
        <f t="shared" si="4"/>
        <v>-7.8470642783656785E-7</v>
      </c>
      <c r="W36" s="7">
        <v>201.40877699999999</v>
      </c>
      <c r="X36" s="5">
        <v>201.40880139707588</v>
      </c>
      <c r="Y36" s="9">
        <f t="shared" si="5"/>
        <v>-2.4397075890192355E-5</v>
      </c>
      <c r="Z36" s="7">
        <v>5.2216615900000001</v>
      </c>
      <c r="AA36" s="5">
        <v>5.2216622244530022</v>
      </c>
      <c r="AB36" s="10">
        <f t="shared" si="6"/>
        <v>-6.344530021351602E-7</v>
      </c>
      <c r="AC36" s="7">
        <v>163.17692500000001</v>
      </c>
      <c r="AD36" s="5">
        <v>163.17694451415633</v>
      </c>
      <c r="AE36" s="9">
        <f t="shared" si="7"/>
        <v>-1.9514156321065457E-5</v>
      </c>
    </row>
    <row r="37" spans="1:31" x14ac:dyDescent="0.3">
      <c r="A37">
        <v>1</v>
      </c>
      <c r="B37" s="1">
        <v>0.52510416666666659</v>
      </c>
      <c r="C37">
        <v>8.75</v>
      </c>
      <c r="D37">
        <v>84.45</v>
      </c>
      <c r="E37">
        <v>28.12</v>
      </c>
      <c r="F37">
        <v>11005</v>
      </c>
      <c r="G37">
        <v>29</v>
      </c>
      <c r="H37" s="7">
        <v>82.706485999999998</v>
      </c>
      <c r="I37" s="8">
        <v>82.706496210061729</v>
      </c>
      <c r="J37" s="9">
        <f t="shared" si="0"/>
        <v>-1.0210061731186215E-5</v>
      </c>
      <c r="K37" s="7">
        <v>17.327008800000002</v>
      </c>
      <c r="L37" s="5">
        <v>17.285657707902899</v>
      </c>
      <c r="M37" s="9">
        <f t="shared" si="1"/>
        <v>4.1351092097102082E-2</v>
      </c>
      <c r="N37" s="7">
        <v>168.5641</v>
      </c>
      <c r="O37" s="5">
        <v>168.56412090987396</v>
      </c>
      <c r="P37" s="9">
        <f t="shared" si="2"/>
        <v>-2.0909873967411841E-5</v>
      </c>
      <c r="Q37" s="7">
        <v>126.43382200000001</v>
      </c>
      <c r="R37" s="5">
        <v>126.43383755859794</v>
      </c>
      <c r="S37" s="9">
        <f t="shared" si="3"/>
        <v>-1.5558597937115337E-5</v>
      </c>
      <c r="T37" s="7">
        <v>6.3500555800000003</v>
      </c>
      <c r="U37" s="5">
        <v>6.350056355797479</v>
      </c>
      <c r="V37" s="9">
        <f t="shared" si="4"/>
        <v>-7.7579747870260007E-7</v>
      </c>
      <c r="W37" s="7">
        <v>198.43923699999999</v>
      </c>
      <c r="X37" s="5">
        <v>198.43926111867123</v>
      </c>
      <c r="Y37" s="9">
        <f t="shared" si="5"/>
        <v>-2.4118671234418798E-5</v>
      </c>
      <c r="Z37" s="7">
        <v>5.1446742099999998</v>
      </c>
      <c r="AA37" s="5">
        <v>5.1446748426296649</v>
      </c>
      <c r="AB37" s="10">
        <f t="shared" si="6"/>
        <v>-6.3262966509824992E-7</v>
      </c>
      <c r="AC37" s="7">
        <v>160.77106900000001</v>
      </c>
      <c r="AD37" s="5">
        <v>160.77108883217701</v>
      </c>
      <c r="AE37" s="9">
        <f t="shared" si="7"/>
        <v>-1.9832177002854223E-5</v>
      </c>
    </row>
    <row r="38" spans="1:31" x14ac:dyDescent="0.3">
      <c r="A38">
        <v>1</v>
      </c>
      <c r="B38" s="1">
        <v>0.52527777777777784</v>
      </c>
      <c r="C38">
        <v>9</v>
      </c>
      <c r="D38">
        <v>84.13</v>
      </c>
      <c r="E38">
        <v>28.16</v>
      </c>
      <c r="F38">
        <v>11001</v>
      </c>
      <c r="G38">
        <v>29</v>
      </c>
      <c r="H38" s="7">
        <v>82.400571999999997</v>
      </c>
      <c r="I38" s="8">
        <v>82.400581827627931</v>
      </c>
      <c r="J38" s="9">
        <f t="shared" si="0"/>
        <v>-9.827627934555494E-6</v>
      </c>
      <c r="K38" s="7">
        <v>17.262919799999999</v>
      </c>
      <c r="L38" s="5">
        <v>17.221721601974238</v>
      </c>
      <c r="M38" s="9">
        <f t="shared" si="1"/>
        <v>4.1198198025760746E-2</v>
      </c>
      <c r="N38" s="7">
        <v>167.94061600000001</v>
      </c>
      <c r="O38" s="5">
        <v>167.94063676640752</v>
      </c>
      <c r="P38" s="9">
        <f t="shared" si="2"/>
        <v>-2.0766407516248364E-5</v>
      </c>
      <c r="Q38" s="7">
        <v>125.96616899999999</v>
      </c>
      <c r="R38" s="5">
        <v>125.96618470050518</v>
      </c>
      <c r="S38" s="9">
        <f t="shared" si="3"/>
        <v>-1.5700505187510316E-5</v>
      </c>
      <c r="T38" s="7">
        <v>6.3265680299999998</v>
      </c>
      <c r="U38" s="5">
        <v>6.3265687985012571</v>
      </c>
      <c r="V38" s="9">
        <f t="shared" si="4"/>
        <v>-7.6850125729777119E-7</v>
      </c>
      <c r="W38" s="7">
        <v>197.705251</v>
      </c>
      <c r="X38" s="5">
        <v>197.70527495316429</v>
      </c>
      <c r="Y38" s="9">
        <f t="shared" si="5"/>
        <v>-2.3953164287604523E-5</v>
      </c>
      <c r="Z38" s="7">
        <v>5.1256451199999997</v>
      </c>
      <c r="AA38" s="5">
        <v>5.1256457445608943</v>
      </c>
      <c r="AB38" s="10">
        <f t="shared" si="6"/>
        <v>-6.2456089455764641E-7</v>
      </c>
      <c r="AC38" s="7">
        <v>160.17641</v>
      </c>
      <c r="AD38" s="5">
        <v>160.17642951752794</v>
      </c>
      <c r="AE38" s="9">
        <f t="shared" si="7"/>
        <v>-1.9517527931611767E-5</v>
      </c>
    </row>
    <row r="39" spans="1:31" x14ac:dyDescent="0.3">
      <c r="A39">
        <v>1</v>
      </c>
      <c r="B39" s="1">
        <v>0.52545138888888887</v>
      </c>
      <c r="C39">
        <v>9.25</v>
      </c>
      <c r="D39">
        <v>85.32</v>
      </c>
      <c r="E39">
        <v>28.01</v>
      </c>
      <c r="F39">
        <v>11005</v>
      </c>
      <c r="G39">
        <v>29</v>
      </c>
      <c r="H39" s="7">
        <v>83.554952999999998</v>
      </c>
      <c r="I39" s="8">
        <v>83.554962875661886</v>
      </c>
      <c r="J39" s="9">
        <f t="shared" si="0"/>
        <v>-9.8756618882589464E-6</v>
      </c>
      <c r="K39" s="7">
        <v>17.504762599999999</v>
      </c>
      <c r="L39" s="5">
        <v>17.462987241013334</v>
      </c>
      <c r="M39" s="9">
        <f t="shared" si="1"/>
        <v>4.1775358986665623E-2</v>
      </c>
      <c r="N39" s="7">
        <v>170.29336000000001</v>
      </c>
      <c r="O39" s="5">
        <v>170.29338093371746</v>
      </c>
      <c r="P39" s="9">
        <f t="shared" si="2"/>
        <v>-2.0933717451043776E-5</v>
      </c>
      <c r="Q39" s="7">
        <v>127.73087700000001</v>
      </c>
      <c r="R39" s="5">
        <v>127.73089282617831</v>
      </c>
      <c r="S39" s="9">
        <f t="shared" si="3"/>
        <v>-1.5826178298539162E-5</v>
      </c>
      <c r="T39" s="7">
        <v>6.4151993200000001</v>
      </c>
      <c r="U39" s="5">
        <v>6.4152001037431337</v>
      </c>
      <c r="V39" s="9">
        <f t="shared" si="4"/>
        <v>-7.8374313350337843E-7</v>
      </c>
      <c r="W39" s="7">
        <v>200.47497899999999</v>
      </c>
      <c r="X39" s="5">
        <v>200.47500324197293</v>
      </c>
      <c r="Y39" s="9">
        <f t="shared" si="5"/>
        <v>-2.4241972937488754E-5</v>
      </c>
      <c r="Z39" s="7">
        <v>5.1974522299999997</v>
      </c>
      <c r="AA39" s="5">
        <v>5.1974528626081238</v>
      </c>
      <c r="AB39" s="10">
        <f t="shared" si="6"/>
        <v>-6.3260812410703693E-7</v>
      </c>
      <c r="AC39" s="7">
        <v>162.42038199999999</v>
      </c>
      <c r="AD39" s="5">
        <v>162.42040195650387</v>
      </c>
      <c r="AE39" s="9">
        <f t="shared" si="7"/>
        <v>-1.9956503876983334E-5</v>
      </c>
    </row>
    <row r="40" spans="1:31" x14ac:dyDescent="0.3">
      <c r="A40">
        <v>1</v>
      </c>
      <c r="B40" s="1">
        <v>0.52562500000000001</v>
      </c>
      <c r="C40">
        <v>9.5</v>
      </c>
      <c r="D40">
        <v>84.45</v>
      </c>
      <c r="E40">
        <v>28.12</v>
      </c>
      <c r="F40">
        <v>10972</v>
      </c>
      <c r="G40">
        <v>29</v>
      </c>
      <c r="H40" s="7">
        <v>82.706485999999998</v>
      </c>
      <c r="I40" s="8">
        <v>82.706496210061729</v>
      </c>
      <c r="J40" s="9">
        <f t="shared" si="0"/>
        <v>-1.0210061731186215E-5</v>
      </c>
      <c r="K40" s="7">
        <v>17.327008800000002</v>
      </c>
      <c r="L40" s="5">
        <v>17.285657707902899</v>
      </c>
      <c r="M40" s="9">
        <f t="shared" si="1"/>
        <v>4.1351092097102082E-2</v>
      </c>
      <c r="N40" s="7">
        <v>168.5641</v>
      </c>
      <c r="O40" s="5">
        <v>168.56412090987396</v>
      </c>
      <c r="P40" s="9">
        <f t="shared" si="2"/>
        <v>-2.0909873967411841E-5</v>
      </c>
      <c r="Q40" s="7">
        <v>126.43382200000001</v>
      </c>
      <c r="R40" s="5">
        <v>126.43383755859794</v>
      </c>
      <c r="S40" s="9">
        <f t="shared" si="3"/>
        <v>-1.5558597937115337E-5</v>
      </c>
      <c r="T40" s="7">
        <v>6.3500555800000003</v>
      </c>
      <c r="U40" s="5">
        <v>6.350056355797479</v>
      </c>
      <c r="V40" s="9">
        <f t="shared" si="4"/>
        <v>-7.7579747870260007E-7</v>
      </c>
      <c r="W40" s="7">
        <v>198.43923699999999</v>
      </c>
      <c r="X40" s="5">
        <v>198.43926111867123</v>
      </c>
      <c r="Y40" s="9">
        <f t="shared" si="5"/>
        <v>-2.4118671234418798E-5</v>
      </c>
      <c r="Z40" s="7">
        <v>5.1446742099999998</v>
      </c>
      <c r="AA40" s="5">
        <v>5.1446748426296649</v>
      </c>
      <c r="AB40" s="10">
        <f t="shared" si="6"/>
        <v>-6.3262966509824992E-7</v>
      </c>
      <c r="AC40" s="7">
        <v>160.77106900000001</v>
      </c>
      <c r="AD40" s="5">
        <v>160.77108883217701</v>
      </c>
      <c r="AE40" s="9">
        <f t="shared" si="7"/>
        <v>-1.9832177002854223E-5</v>
      </c>
    </row>
    <row r="41" spans="1:31" x14ac:dyDescent="0.3">
      <c r="A41">
        <v>1</v>
      </c>
      <c r="B41" s="1">
        <v>0.52579861111111115</v>
      </c>
      <c r="C41">
        <v>9.75</v>
      </c>
      <c r="D41">
        <v>84.23</v>
      </c>
      <c r="E41">
        <v>28.15</v>
      </c>
      <c r="F41">
        <v>10958</v>
      </c>
      <c r="G41">
        <v>29</v>
      </c>
      <c r="H41" s="7">
        <v>82.476920000000007</v>
      </c>
      <c r="I41" s="8">
        <v>82.476930371972188</v>
      </c>
      <c r="J41" s="9">
        <f t="shared" si="0"/>
        <v>-1.0371972180678313E-5</v>
      </c>
      <c r="K41" s="7">
        <v>17.278914799999999</v>
      </c>
      <c r="L41" s="5">
        <v>17.237678447742187</v>
      </c>
      <c r="M41" s="9">
        <f t="shared" si="1"/>
        <v>4.1236352257811859E-2</v>
      </c>
      <c r="N41" s="7">
        <v>168.09622200000001</v>
      </c>
      <c r="O41" s="5">
        <v>168.09624274477531</v>
      </c>
      <c r="P41" s="9">
        <f t="shared" si="2"/>
        <v>-2.0744775298453533E-5</v>
      </c>
      <c r="Q41" s="7">
        <v>126.08288400000001</v>
      </c>
      <c r="R41" s="5">
        <v>126.0828991050054</v>
      </c>
      <c r="S41" s="9">
        <f t="shared" si="3"/>
        <v>-1.510500538870474E-5</v>
      </c>
      <c r="T41" s="7">
        <v>6.33242993</v>
      </c>
      <c r="U41" s="5">
        <v>6.3324307027226343</v>
      </c>
      <c r="V41" s="9">
        <f t="shared" si="4"/>
        <v>-7.7272263432348609E-7</v>
      </c>
      <c r="W41" s="7">
        <v>197.88843499999999</v>
      </c>
      <c r="X41" s="5">
        <v>197.88845946008232</v>
      </c>
      <c r="Y41" s="9">
        <f t="shared" si="5"/>
        <v>-2.446008232936947E-5</v>
      </c>
      <c r="Z41" s="7">
        <v>5.1303942999999999</v>
      </c>
      <c r="AA41" s="5">
        <v>5.1303949293693236</v>
      </c>
      <c r="AB41" s="10">
        <f t="shared" si="6"/>
        <v>-6.2936932376800314E-7</v>
      </c>
      <c r="AC41" s="7">
        <v>160.32482200000001</v>
      </c>
      <c r="AD41" s="5">
        <v>160.32484154279138</v>
      </c>
      <c r="AE41" s="9">
        <f t="shared" si="7"/>
        <v>-1.9542791363846845E-5</v>
      </c>
    </row>
    <row r="42" spans="1:31" x14ac:dyDescent="0.3">
      <c r="A42">
        <v>1</v>
      </c>
      <c r="B42" s="1">
        <v>0.52597222222222217</v>
      </c>
      <c r="C42">
        <v>10</v>
      </c>
      <c r="D42">
        <v>85.65</v>
      </c>
      <c r="E42">
        <v>27.97</v>
      </c>
      <c r="F42">
        <v>10963</v>
      </c>
      <c r="G42">
        <v>29</v>
      </c>
      <c r="H42" s="7">
        <v>83.866129000000001</v>
      </c>
      <c r="I42" s="8">
        <v>83.866139666861983</v>
      </c>
      <c r="J42" s="9">
        <f t="shared" si="0"/>
        <v>-1.0666861982144837E-5</v>
      </c>
      <c r="K42" s="7">
        <v>17.5699541</v>
      </c>
      <c r="L42" s="5">
        <v>17.528023190374153</v>
      </c>
      <c r="M42" s="9">
        <f t="shared" si="1"/>
        <v>4.1930909625847335E-2</v>
      </c>
      <c r="N42" s="7">
        <v>170.92757</v>
      </c>
      <c r="O42" s="5">
        <v>170.92759039318938</v>
      </c>
      <c r="P42" s="9">
        <f t="shared" si="2"/>
        <v>-2.0393189373635323E-5</v>
      </c>
      <c r="Q42" s="7">
        <v>128.20657499999999</v>
      </c>
      <c r="R42" s="5">
        <v>128.20659035507219</v>
      </c>
      <c r="S42" s="9">
        <f t="shared" si="3"/>
        <v>-1.5355072207512421E-5</v>
      </c>
      <c r="T42" s="7">
        <v>6.43909091</v>
      </c>
      <c r="U42" s="5">
        <v>6.4390916993406311</v>
      </c>
      <c r="V42" s="9">
        <f t="shared" si="4"/>
        <v>-7.8934063107993779E-7</v>
      </c>
      <c r="W42" s="7">
        <v>201.22159099999999</v>
      </c>
      <c r="X42" s="5">
        <v>201.22161560439471</v>
      </c>
      <c r="Y42" s="9">
        <f t="shared" si="5"/>
        <v>-2.4604394724292433E-5</v>
      </c>
      <c r="Z42" s="7">
        <v>5.2168086699999998</v>
      </c>
      <c r="AA42" s="5">
        <v>5.2168093035487635</v>
      </c>
      <c r="AB42" s="10">
        <f t="shared" si="6"/>
        <v>-6.3354876367327506E-7</v>
      </c>
      <c r="AC42" s="7">
        <v>163.025271</v>
      </c>
      <c r="AD42" s="5">
        <v>163.02529073589886</v>
      </c>
      <c r="AE42" s="9">
        <f t="shared" si="7"/>
        <v>-1.9735898860062662E-5</v>
      </c>
    </row>
    <row r="43" spans="1:31" x14ac:dyDescent="0.3">
      <c r="A43">
        <v>1</v>
      </c>
      <c r="B43" s="1">
        <v>0.52614583333333331</v>
      </c>
      <c r="C43">
        <v>10.25</v>
      </c>
      <c r="D43">
        <v>83.74</v>
      </c>
      <c r="E43">
        <v>28.21</v>
      </c>
      <c r="F43">
        <v>10929</v>
      </c>
      <c r="G43">
        <v>29</v>
      </c>
      <c r="H43" s="7">
        <v>82.020123999999996</v>
      </c>
      <c r="I43" s="8">
        <v>82.020133904028</v>
      </c>
      <c r="J43" s="9">
        <f t="shared" si="0"/>
        <v>-9.9040280048257046E-6</v>
      </c>
      <c r="K43" s="7">
        <v>17.183216000000002</v>
      </c>
      <c r="L43" s="5">
        <v>17.142207985941852</v>
      </c>
      <c r="M43" s="9">
        <f t="shared" si="1"/>
        <v>4.1008014058149911E-2</v>
      </c>
      <c r="N43" s="7">
        <v>167.16522499999999</v>
      </c>
      <c r="O43" s="5">
        <v>167.1652458027917</v>
      </c>
      <c r="P43" s="9">
        <f t="shared" si="2"/>
        <v>-2.0802791709684243E-5</v>
      </c>
      <c r="Q43" s="7">
        <v>125.38457699999999</v>
      </c>
      <c r="R43" s="5">
        <v>125.38459204241738</v>
      </c>
      <c r="S43" s="9">
        <f t="shared" si="3"/>
        <v>-1.5042417388144713E-5</v>
      </c>
      <c r="T43" s="7">
        <v>6.2973579199999996</v>
      </c>
      <c r="U43" s="5">
        <v>6.2973586896705083</v>
      </c>
      <c r="V43" s="9">
        <f t="shared" si="4"/>
        <v>-7.6967050866016962E-7</v>
      </c>
      <c r="W43" s="7">
        <v>196.79243500000001</v>
      </c>
      <c r="X43" s="5">
        <v>196.79245905220338</v>
      </c>
      <c r="Y43" s="9">
        <f t="shared" si="5"/>
        <v>-2.4052203372093572E-5</v>
      </c>
      <c r="Z43" s="7">
        <v>5.10197974</v>
      </c>
      <c r="AA43" s="5">
        <v>5.1019803621403392</v>
      </c>
      <c r="AB43" s="10">
        <f t="shared" si="6"/>
        <v>-6.221403392459024E-7</v>
      </c>
      <c r="AC43" s="7">
        <v>159.43686700000001</v>
      </c>
      <c r="AD43" s="5">
        <v>159.43688631688559</v>
      </c>
      <c r="AE43" s="9">
        <f t="shared" si="7"/>
        <v>-1.9316885584430565E-5</v>
      </c>
    </row>
    <row r="44" spans="1:31" x14ac:dyDescent="0.3">
      <c r="A44">
        <v>1</v>
      </c>
      <c r="B44" s="1">
        <v>0.52631944444444445</v>
      </c>
      <c r="C44">
        <v>10.5</v>
      </c>
      <c r="D44">
        <v>83.67</v>
      </c>
      <c r="E44">
        <v>28.22</v>
      </c>
      <c r="F44">
        <v>10927</v>
      </c>
      <c r="G44">
        <v>29</v>
      </c>
      <c r="H44" s="7">
        <v>81.944292000000004</v>
      </c>
      <c r="I44" s="8">
        <v>81.944302393649437</v>
      </c>
      <c r="J44" s="9">
        <f t="shared" si="0"/>
        <v>-1.0393649432671737E-5</v>
      </c>
      <c r="K44" s="7">
        <v>17.167329299999999</v>
      </c>
      <c r="L44" s="5">
        <v>17.126359200272731</v>
      </c>
      <c r="M44" s="9">
        <f t="shared" si="1"/>
        <v>4.097009972726795E-2</v>
      </c>
      <c r="N44" s="7">
        <v>167.010673</v>
      </c>
      <c r="O44" s="5">
        <v>167.01069359141806</v>
      </c>
      <c r="P44" s="9">
        <f t="shared" si="2"/>
        <v>-2.0591418063986566E-5</v>
      </c>
      <c r="Q44" s="7">
        <v>125.268653</v>
      </c>
      <c r="R44" s="5">
        <v>125.26866803034612</v>
      </c>
      <c r="S44" s="9">
        <f t="shared" si="3"/>
        <v>-1.5030346119715432E-5</v>
      </c>
      <c r="T44" s="7">
        <v>6.2915357099999998</v>
      </c>
      <c r="U44" s="5">
        <v>6.2915364823891604</v>
      </c>
      <c r="V44" s="9">
        <f t="shared" si="4"/>
        <v>-7.7238916063038232E-7</v>
      </c>
      <c r="W44" s="7">
        <v>196.610491</v>
      </c>
      <c r="X44" s="5">
        <v>196.61051507466127</v>
      </c>
      <c r="Y44" s="9">
        <f t="shared" si="5"/>
        <v>-2.4074661268969066E-5</v>
      </c>
      <c r="Z44" s="7">
        <v>5.0972627199999998</v>
      </c>
      <c r="AA44" s="5">
        <v>5.0972633389124136</v>
      </c>
      <c r="AB44" s="10">
        <f t="shared" si="6"/>
        <v>-6.1891241376343942E-7</v>
      </c>
      <c r="AC44" s="7">
        <v>159.28945999999999</v>
      </c>
      <c r="AD44" s="5">
        <v>159.28947934101294</v>
      </c>
      <c r="AE44" s="9">
        <f t="shared" si="7"/>
        <v>-1.9341012944096292E-5</v>
      </c>
    </row>
    <row r="45" spans="1:31" x14ac:dyDescent="0.3">
      <c r="A45">
        <v>1</v>
      </c>
      <c r="B45" s="1">
        <v>0.52649305555555559</v>
      </c>
      <c r="C45">
        <v>10.75</v>
      </c>
      <c r="D45">
        <v>84.38</v>
      </c>
      <c r="E45">
        <v>28.13</v>
      </c>
      <c r="F45">
        <v>10944</v>
      </c>
      <c r="G45">
        <v>29</v>
      </c>
      <c r="H45" s="7">
        <v>82.629876999999993</v>
      </c>
      <c r="I45" s="8">
        <v>82.629887435782251</v>
      </c>
      <c r="J45" s="9">
        <f t="shared" si="0"/>
        <v>-1.0435782257900428E-5</v>
      </c>
      <c r="K45" s="7">
        <v>17.3109593</v>
      </c>
      <c r="L45" s="5">
        <v>17.269646474078492</v>
      </c>
      <c r="M45" s="9">
        <f t="shared" si="1"/>
        <v>4.1312825921508534E-2</v>
      </c>
      <c r="N45" s="7">
        <v>168.40796399999999</v>
      </c>
      <c r="O45" s="5">
        <v>168.40798455684066</v>
      </c>
      <c r="P45" s="9">
        <f t="shared" si="2"/>
        <v>-2.0556840667040888E-5</v>
      </c>
      <c r="Q45" s="7">
        <v>126.31671</v>
      </c>
      <c r="R45" s="5">
        <v>126.31672533928433</v>
      </c>
      <c r="S45" s="9">
        <f t="shared" si="3"/>
        <v>-1.5339284331616909E-5</v>
      </c>
      <c r="T45" s="7">
        <v>6.3441736999999998</v>
      </c>
      <c r="U45" s="5">
        <v>6.3441744715886772</v>
      </c>
      <c r="V45" s="9">
        <f t="shared" si="4"/>
        <v>-7.7158867739512971E-7</v>
      </c>
      <c r="W45" s="7">
        <v>198.25542799999999</v>
      </c>
      <c r="X45" s="5">
        <v>198.25545223714616</v>
      </c>
      <c r="Y45" s="9">
        <f t="shared" si="5"/>
        <v>-2.4237146163841317E-5</v>
      </c>
      <c r="Z45" s="7">
        <v>5.1399088400000004</v>
      </c>
      <c r="AA45" s="5">
        <v>5.1399094704784947</v>
      </c>
      <c r="AB45" s="10">
        <f t="shared" si="6"/>
        <v>-6.3047849430120095E-7</v>
      </c>
      <c r="AC45" s="7">
        <v>160.622151</v>
      </c>
      <c r="AD45" s="5">
        <v>160.62217095245296</v>
      </c>
      <c r="AE45" s="9">
        <f t="shared" si="7"/>
        <v>-1.9952452959159928E-5</v>
      </c>
    </row>
    <row r="46" spans="1:31" x14ac:dyDescent="0.3">
      <c r="A46">
        <v>1</v>
      </c>
      <c r="B46" s="1">
        <v>0.52666666666666673</v>
      </c>
      <c r="C46">
        <v>11</v>
      </c>
      <c r="D46">
        <v>85.34</v>
      </c>
      <c r="E46">
        <v>28</v>
      </c>
      <c r="F46">
        <v>10918</v>
      </c>
      <c r="G46">
        <v>29</v>
      </c>
      <c r="H46" s="7">
        <v>83.632614000000004</v>
      </c>
      <c r="I46" s="8">
        <v>83.632624121524231</v>
      </c>
      <c r="J46" s="9">
        <f t="shared" si="0"/>
        <v>-1.0121524226747169E-5</v>
      </c>
      <c r="K46" s="7">
        <v>17.521032600000002</v>
      </c>
      <c r="L46" s="5">
        <v>17.479218441398565</v>
      </c>
      <c r="M46" s="9">
        <f t="shared" si="1"/>
        <v>4.1814158601436446E-2</v>
      </c>
      <c r="N46" s="7">
        <v>170.45164199999999</v>
      </c>
      <c r="O46" s="5">
        <v>170.45166232922358</v>
      </c>
      <c r="P46" s="9">
        <f t="shared" si="2"/>
        <v>-2.0329223588078094E-5</v>
      </c>
      <c r="Q46" s="7">
        <v>127.849598</v>
      </c>
      <c r="R46" s="5">
        <v>127.84961396410463</v>
      </c>
      <c r="S46" s="9">
        <f t="shared" si="3"/>
        <v>-1.5964104633781062E-5</v>
      </c>
      <c r="T46" s="7">
        <v>6.4211620099999998</v>
      </c>
      <c r="U46" s="5">
        <v>6.4211627948313259</v>
      </c>
      <c r="V46" s="9">
        <f t="shared" si="4"/>
        <v>-7.8483132615048135E-7</v>
      </c>
      <c r="W46" s="7">
        <v>200.66131300000001</v>
      </c>
      <c r="X46" s="5">
        <v>200.66133733847894</v>
      </c>
      <c r="Y46" s="9">
        <f t="shared" si="5"/>
        <v>-2.4338478937124819E-5</v>
      </c>
      <c r="Z46" s="7">
        <v>5.20228307</v>
      </c>
      <c r="AA46" s="5">
        <v>5.2022837027010302</v>
      </c>
      <c r="AB46" s="10">
        <f t="shared" si="6"/>
        <v>-6.3270103023427282E-7</v>
      </c>
      <c r="AC46" s="7">
        <v>162.57134600000001</v>
      </c>
      <c r="AD46" s="5">
        <v>162.57136570940719</v>
      </c>
      <c r="AE46" s="9">
        <f t="shared" si="7"/>
        <v>-1.9709407183654548E-5</v>
      </c>
    </row>
    <row r="47" spans="1:31" x14ac:dyDescent="0.3">
      <c r="A47">
        <v>1</v>
      </c>
      <c r="B47" s="1">
        <v>0.52684027777777775</v>
      </c>
      <c r="C47">
        <v>11.25</v>
      </c>
      <c r="D47">
        <v>85.44</v>
      </c>
      <c r="E47">
        <v>27.99</v>
      </c>
      <c r="F47">
        <v>10911</v>
      </c>
      <c r="G47">
        <v>29</v>
      </c>
      <c r="H47" s="7">
        <v>83.710363999999998</v>
      </c>
      <c r="I47" s="8">
        <v>83.710373914990782</v>
      </c>
      <c r="J47" s="9">
        <f t="shared" si="0"/>
        <v>-9.9149907839546358E-6</v>
      </c>
      <c r="K47" s="7">
        <v>17.537321200000001</v>
      </c>
      <c r="L47" s="5">
        <v>17.495468148233073</v>
      </c>
      <c r="M47" s="9">
        <f t="shared" si="1"/>
        <v>4.1853051766928218E-2</v>
      </c>
      <c r="N47" s="7">
        <v>170.61010300000001</v>
      </c>
      <c r="O47" s="5">
        <v>170.61012419361361</v>
      </c>
      <c r="P47" s="9">
        <f t="shared" si="2"/>
        <v>-2.1193613605419159E-5</v>
      </c>
      <c r="Q47" s="7">
        <v>127.96845500000001</v>
      </c>
      <c r="R47" s="5">
        <v>127.96847046519974</v>
      </c>
      <c r="S47" s="9">
        <f t="shared" si="3"/>
        <v>-1.5465199737718649E-5</v>
      </c>
      <c r="T47" s="7">
        <v>6.4271314999999998</v>
      </c>
      <c r="U47" s="5">
        <v>6.427132284445662</v>
      </c>
      <c r="V47" s="9">
        <f t="shared" si="4"/>
        <v>-7.8444566220525758E-7</v>
      </c>
      <c r="W47" s="7">
        <v>200.847859</v>
      </c>
      <c r="X47" s="5">
        <v>200.84788388892693</v>
      </c>
      <c r="Y47" s="9">
        <f t="shared" si="5"/>
        <v>-2.4888926930088928E-5</v>
      </c>
      <c r="Z47" s="7">
        <v>5.2071194199999997</v>
      </c>
      <c r="AA47" s="5">
        <v>5.2071200508090554</v>
      </c>
      <c r="AB47" s="10">
        <f t="shared" si="6"/>
        <v>-6.3080905565726653E-7</v>
      </c>
      <c r="AC47" s="7">
        <v>162.72248200000001</v>
      </c>
      <c r="AD47" s="5">
        <v>162.72250158778297</v>
      </c>
      <c r="AE47" s="9">
        <f t="shared" si="7"/>
        <v>-1.9587782958296884E-5</v>
      </c>
    </row>
    <row r="48" spans="1:31" x14ac:dyDescent="0.3">
      <c r="A48">
        <v>1</v>
      </c>
      <c r="B48" s="1">
        <v>0.52701388888888889</v>
      </c>
      <c r="C48">
        <v>11.5</v>
      </c>
      <c r="D48">
        <v>85.56</v>
      </c>
      <c r="E48">
        <v>27.98</v>
      </c>
      <c r="F48">
        <v>10894</v>
      </c>
      <c r="G48">
        <v>29</v>
      </c>
      <c r="H48" s="7">
        <v>83.788201999999998</v>
      </c>
      <c r="I48" s="8">
        <v>83.788212386539172</v>
      </c>
      <c r="J48" s="9">
        <f t="shared" si="0"/>
        <v>-1.0386539173623532E-5</v>
      </c>
      <c r="K48" s="7">
        <v>17.553628400000001</v>
      </c>
      <c r="L48" s="5">
        <v>17.511736388786684</v>
      </c>
      <c r="M48" s="9">
        <f t="shared" si="1"/>
        <v>4.1892011213317204E-2</v>
      </c>
      <c r="N48" s="7">
        <v>170.76874599999999</v>
      </c>
      <c r="O48" s="5">
        <v>170.76876679281403</v>
      </c>
      <c r="P48" s="9">
        <f t="shared" si="2"/>
        <v>-2.0792814041215024E-5</v>
      </c>
      <c r="Q48" s="7">
        <v>128.087447</v>
      </c>
      <c r="R48" s="5">
        <v>128.08746252892547</v>
      </c>
      <c r="S48" s="9">
        <f t="shared" si="3"/>
        <v>-1.5528925473518029E-5</v>
      </c>
      <c r="T48" s="7">
        <v>6.4331078000000002</v>
      </c>
      <c r="U48" s="5">
        <v>6.4331085826039844</v>
      </c>
      <c r="V48" s="9">
        <f t="shared" si="4"/>
        <v>-7.8260398428398048E-7</v>
      </c>
      <c r="W48" s="7">
        <v>201.03461899999999</v>
      </c>
      <c r="X48" s="5">
        <v>201.03464320637451</v>
      </c>
      <c r="Y48" s="9">
        <f t="shared" si="5"/>
        <v>-2.4206374519053497E-5</v>
      </c>
      <c r="Z48" s="7">
        <v>5.2119612799999997</v>
      </c>
      <c r="AA48" s="5">
        <v>5.211961915048434</v>
      </c>
      <c r="AB48" s="10">
        <f t="shared" si="6"/>
        <v>-6.3504843428319191E-7</v>
      </c>
      <c r="AC48" s="7">
        <v>162.87379000000001</v>
      </c>
      <c r="AD48" s="5">
        <v>162.87380984526357</v>
      </c>
      <c r="AE48" s="9">
        <f t="shared" si="7"/>
        <v>-1.9845263551587777E-5</v>
      </c>
    </row>
    <row r="49" spans="1:31" x14ac:dyDescent="0.3">
      <c r="A49">
        <v>1</v>
      </c>
      <c r="B49" s="1">
        <v>0.52718750000000003</v>
      </c>
      <c r="C49">
        <v>11.75</v>
      </c>
      <c r="D49">
        <v>86.27</v>
      </c>
      <c r="E49">
        <v>27.89</v>
      </c>
      <c r="F49">
        <v>10898</v>
      </c>
      <c r="G49">
        <v>29</v>
      </c>
      <c r="H49" s="7">
        <v>84.492760000000004</v>
      </c>
      <c r="I49" s="8">
        <v>84.492770779493569</v>
      </c>
      <c r="J49" s="9">
        <f t="shared" si="0"/>
        <v>-1.0779493564427867E-5</v>
      </c>
      <c r="K49" s="7">
        <v>17.701233299999998</v>
      </c>
      <c r="L49" s="5">
        <v>17.658989092914155</v>
      </c>
      <c r="M49" s="9">
        <f t="shared" si="1"/>
        <v>4.2244207085843755E-2</v>
      </c>
      <c r="N49" s="7">
        <v>172.20470599999999</v>
      </c>
      <c r="O49" s="5">
        <v>172.2047273470659</v>
      </c>
      <c r="P49" s="9">
        <f t="shared" si="2"/>
        <v>-2.134706591050417E-5</v>
      </c>
      <c r="Q49" s="7">
        <v>129.16450900000001</v>
      </c>
      <c r="R49" s="5">
        <v>129.16452449488148</v>
      </c>
      <c r="S49" s="9">
        <f t="shared" si="3"/>
        <v>-1.5494881466793231E-5</v>
      </c>
      <c r="T49" s="7">
        <v>6.4872025200000003</v>
      </c>
      <c r="U49" s="5">
        <v>6.4872033116304362</v>
      </c>
      <c r="V49" s="9">
        <f t="shared" si="4"/>
        <v>-7.9163043587016091E-7</v>
      </c>
      <c r="W49" s="7">
        <v>202.72507899999999</v>
      </c>
      <c r="X49" s="5">
        <v>202.72510348845114</v>
      </c>
      <c r="Y49" s="9">
        <f t="shared" si="5"/>
        <v>-2.4488451145998624E-5</v>
      </c>
      <c r="Z49" s="7">
        <v>5.2557876200000004</v>
      </c>
      <c r="AA49" s="5">
        <v>5.2557882649180963</v>
      </c>
      <c r="AB49" s="10">
        <f t="shared" si="6"/>
        <v>-6.4491809581568305E-7</v>
      </c>
      <c r="AC49" s="7">
        <v>164.24336299999999</v>
      </c>
      <c r="AD49" s="5">
        <v>164.24338327869052</v>
      </c>
      <c r="AE49" s="9">
        <f t="shared" si="7"/>
        <v>-2.027869052767528E-5</v>
      </c>
    </row>
    <row r="50" spans="1:31" x14ac:dyDescent="0.3">
      <c r="A50">
        <v>1</v>
      </c>
      <c r="B50" s="1">
        <v>0.52736111111111106</v>
      </c>
      <c r="C50">
        <v>12</v>
      </c>
      <c r="D50">
        <v>85.54</v>
      </c>
      <c r="E50">
        <v>27.98</v>
      </c>
      <c r="F50">
        <v>10878</v>
      </c>
      <c r="G50">
        <v>29</v>
      </c>
      <c r="H50" s="7">
        <v>83.788201999999998</v>
      </c>
      <c r="I50" s="8">
        <v>83.788212386539172</v>
      </c>
      <c r="J50" s="9">
        <f t="shared" si="0"/>
        <v>-1.0386539173623532E-5</v>
      </c>
      <c r="K50" s="7">
        <v>17.553628400000001</v>
      </c>
      <c r="L50" s="5">
        <v>17.511736388786684</v>
      </c>
      <c r="M50" s="9">
        <f t="shared" si="1"/>
        <v>4.1892011213317204E-2</v>
      </c>
      <c r="N50" s="7">
        <v>170.76874599999999</v>
      </c>
      <c r="O50" s="5">
        <v>170.76876679281403</v>
      </c>
      <c r="P50" s="9">
        <f t="shared" si="2"/>
        <v>-2.0792814041215024E-5</v>
      </c>
      <c r="Q50" s="7">
        <v>128.087447</v>
      </c>
      <c r="R50" s="5">
        <v>128.08746252892547</v>
      </c>
      <c r="S50" s="9">
        <f t="shared" si="3"/>
        <v>-1.5528925473518029E-5</v>
      </c>
      <c r="T50" s="7">
        <v>6.4331078000000002</v>
      </c>
      <c r="U50" s="5">
        <v>6.4331085826039844</v>
      </c>
      <c r="V50" s="9">
        <f t="shared" si="4"/>
        <v>-7.8260398428398048E-7</v>
      </c>
      <c r="W50" s="7">
        <v>201.03461899999999</v>
      </c>
      <c r="X50" s="5">
        <v>201.03464320637451</v>
      </c>
      <c r="Y50" s="9">
        <f t="shared" si="5"/>
        <v>-2.4206374519053497E-5</v>
      </c>
      <c r="Z50" s="7">
        <v>5.2119612799999997</v>
      </c>
      <c r="AA50" s="5">
        <v>5.211961915048434</v>
      </c>
      <c r="AB50" s="10">
        <f t="shared" si="6"/>
        <v>-6.3504843428319191E-7</v>
      </c>
      <c r="AC50" s="7">
        <v>162.87379000000001</v>
      </c>
      <c r="AD50" s="5">
        <v>162.87380984526357</v>
      </c>
      <c r="AE50" s="9">
        <f t="shared" si="7"/>
        <v>-1.9845263551587777E-5</v>
      </c>
    </row>
    <row r="51" spans="1:31" x14ac:dyDescent="0.3">
      <c r="A51">
        <v>1</v>
      </c>
      <c r="B51" s="1">
        <v>0.5275347222222222</v>
      </c>
      <c r="C51">
        <v>12.25</v>
      </c>
      <c r="D51">
        <v>84.89</v>
      </c>
      <c r="E51">
        <v>28.06</v>
      </c>
      <c r="F51">
        <v>10875</v>
      </c>
      <c r="G51">
        <v>29</v>
      </c>
      <c r="H51" s="7">
        <v>83.167969999999997</v>
      </c>
      <c r="I51" s="8">
        <v>83.167980308658883</v>
      </c>
      <c r="J51" s="9">
        <f t="shared" si="0"/>
        <v>-1.0308658886515332E-5</v>
      </c>
      <c r="K51" s="7">
        <v>17.423689700000001</v>
      </c>
      <c r="L51" s="5">
        <v>17.382107884509704</v>
      </c>
      <c r="M51" s="9">
        <f t="shared" si="1"/>
        <v>4.1581815490296492E-2</v>
      </c>
      <c r="N51" s="7">
        <v>169.504651</v>
      </c>
      <c r="O51" s="5">
        <v>169.50467171251395</v>
      </c>
      <c r="P51" s="9">
        <f t="shared" si="2"/>
        <v>-2.0712513958187628E-5</v>
      </c>
      <c r="Q51" s="7">
        <v>127.139295</v>
      </c>
      <c r="R51" s="5">
        <v>127.13931062578865</v>
      </c>
      <c r="S51" s="9">
        <f t="shared" si="3"/>
        <v>-1.5625788648776506E-5</v>
      </c>
      <c r="T51" s="7">
        <v>6.3854875</v>
      </c>
      <c r="U51" s="5">
        <v>6.3854882767188217</v>
      </c>
      <c r="V51" s="9">
        <f t="shared" si="4"/>
        <v>-7.767188217044918E-7</v>
      </c>
      <c r="W51" s="7">
        <v>199.54648399999999</v>
      </c>
      <c r="X51" s="5">
        <v>199.54650864746318</v>
      </c>
      <c r="Y51" s="9">
        <f t="shared" si="5"/>
        <v>-2.4647463192195573E-5</v>
      </c>
      <c r="Z51" s="7">
        <v>5.1733803700000003</v>
      </c>
      <c r="AA51" s="5">
        <v>5.1733809992330873</v>
      </c>
      <c r="AB51" s="10">
        <f t="shared" si="6"/>
        <v>-6.2923308696838376E-7</v>
      </c>
      <c r="AC51" s="7">
        <v>161.668136</v>
      </c>
      <c r="AD51" s="5">
        <v>161.66815622603397</v>
      </c>
      <c r="AE51" s="9">
        <f t="shared" si="7"/>
        <v>-2.0226033967674084E-5</v>
      </c>
    </row>
    <row r="52" spans="1:31" x14ac:dyDescent="0.3">
      <c r="A52">
        <v>1</v>
      </c>
      <c r="B52" s="1">
        <v>0.52770833333333333</v>
      </c>
      <c r="C52">
        <v>12.5</v>
      </c>
      <c r="D52">
        <v>85.96</v>
      </c>
      <c r="E52">
        <v>27.93</v>
      </c>
      <c r="F52">
        <v>10880</v>
      </c>
      <c r="G52">
        <v>29</v>
      </c>
      <c r="H52" s="7">
        <v>84.178729000000004</v>
      </c>
      <c r="I52" s="8">
        <v>84.17873949727425</v>
      </c>
      <c r="J52" s="9">
        <f t="shared" si="0"/>
        <v>-1.0497274246290544E-5</v>
      </c>
      <c r="K52" s="7">
        <v>17.635443800000001</v>
      </c>
      <c r="L52" s="5">
        <v>17.593356554930317</v>
      </c>
      <c r="M52" s="9">
        <f t="shared" si="1"/>
        <v>4.2087245069684087E-2</v>
      </c>
      <c r="N52" s="7">
        <v>171.56467900000001</v>
      </c>
      <c r="O52" s="5">
        <v>171.56470014906861</v>
      </c>
      <c r="P52" s="9">
        <f t="shared" si="2"/>
        <v>-2.11490686012894E-5</v>
      </c>
      <c r="Q52" s="7">
        <v>128.684448</v>
      </c>
      <c r="R52" s="5">
        <v>128.6844632911812</v>
      </c>
      <c r="S52" s="9">
        <f t="shared" si="3"/>
        <v>-1.5291181199472703E-5</v>
      </c>
      <c r="T52" s="7">
        <v>6.4630917600000002</v>
      </c>
      <c r="U52" s="5">
        <v>6.4630925533350858</v>
      </c>
      <c r="V52" s="9">
        <f t="shared" si="4"/>
        <v>-7.9333508562484667E-7</v>
      </c>
      <c r="W52" s="7">
        <v>201.97161800000001</v>
      </c>
      <c r="X52" s="5">
        <v>201.97164229172142</v>
      </c>
      <c r="Y52" s="9">
        <f t="shared" si="5"/>
        <v>-2.4291721416602741E-5</v>
      </c>
      <c r="Z52" s="7">
        <v>5.2362536200000003</v>
      </c>
      <c r="AA52" s="5">
        <v>5.2362542632197391</v>
      </c>
      <c r="AB52" s="10">
        <f t="shared" si="6"/>
        <v>-6.4321973880510086E-7</v>
      </c>
      <c r="AC52" s="7">
        <v>163.632926</v>
      </c>
      <c r="AD52" s="5">
        <v>163.63294572561685</v>
      </c>
      <c r="AE52" s="9">
        <f t="shared" si="7"/>
        <v>-1.9725616851928862E-5</v>
      </c>
    </row>
    <row r="53" spans="1:31" x14ac:dyDescent="0.3">
      <c r="A53">
        <v>1</v>
      </c>
      <c r="B53" s="1">
        <v>0.52788194444444447</v>
      </c>
      <c r="C53">
        <v>12.75</v>
      </c>
      <c r="D53">
        <v>85.53</v>
      </c>
      <c r="E53">
        <v>27.98</v>
      </c>
      <c r="F53">
        <v>10883</v>
      </c>
      <c r="G53">
        <v>29</v>
      </c>
      <c r="H53" s="7">
        <v>83.788201999999998</v>
      </c>
      <c r="I53" s="8">
        <v>83.788212386539172</v>
      </c>
      <c r="J53" s="9">
        <f t="shared" si="0"/>
        <v>-1.0386539173623532E-5</v>
      </c>
      <c r="K53" s="7">
        <v>17.553628400000001</v>
      </c>
      <c r="L53" s="5">
        <v>17.511736388786684</v>
      </c>
      <c r="M53" s="9">
        <f t="shared" si="1"/>
        <v>4.1892011213317204E-2</v>
      </c>
      <c r="N53" s="7">
        <v>170.76874599999999</v>
      </c>
      <c r="O53" s="5">
        <v>170.76876679281403</v>
      </c>
      <c r="P53" s="9">
        <f t="shared" si="2"/>
        <v>-2.0792814041215024E-5</v>
      </c>
      <c r="Q53" s="7">
        <v>128.087447</v>
      </c>
      <c r="R53" s="5">
        <v>128.08746252892547</v>
      </c>
      <c r="S53" s="9">
        <f t="shared" si="3"/>
        <v>-1.5528925473518029E-5</v>
      </c>
      <c r="T53" s="7">
        <v>6.4331078000000002</v>
      </c>
      <c r="U53" s="5">
        <v>6.4331085826039844</v>
      </c>
      <c r="V53" s="9">
        <f t="shared" si="4"/>
        <v>-7.8260398428398048E-7</v>
      </c>
      <c r="W53" s="7">
        <v>201.03461899999999</v>
      </c>
      <c r="X53" s="5">
        <v>201.03464320637451</v>
      </c>
      <c r="Y53" s="9">
        <f t="shared" si="5"/>
        <v>-2.4206374519053497E-5</v>
      </c>
      <c r="Z53" s="7">
        <v>5.2119612799999997</v>
      </c>
      <c r="AA53" s="5">
        <v>5.211961915048434</v>
      </c>
      <c r="AB53" s="10">
        <f t="shared" si="6"/>
        <v>-6.3504843428319191E-7</v>
      </c>
      <c r="AC53" s="7">
        <v>162.87379000000001</v>
      </c>
      <c r="AD53" s="5">
        <v>162.87380984526357</v>
      </c>
      <c r="AE53" s="9">
        <f t="shared" si="7"/>
        <v>-1.9845263551587777E-5</v>
      </c>
    </row>
    <row r="54" spans="1:31" x14ac:dyDescent="0.3">
      <c r="A54">
        <v>1</v>
      </c>
      <c r="B54" s="1">
        <v>0.52805555555555561</v>
      </c>
      <c r="C54">
        <v>13</v>
      </c>
      <c r="D54">
        <v>86.16</v>
      </c>
      <c r="E54">
        <v>27.9</v>
      </c>
      <c r="F54">
        <v>10857</v>
      </c>
      <c r="G54">
        <v>29</v>
      </c>
      <c r="H54" s="7">
        <v>84.414118000000002</v>
      </c>
      <c r="I54" s="8">
        <v>84.414128298185872</v>
      </c>
      <c r="J54" s="9">
        <f t="shared" si="0"/>
        <v>-1.0298185870283305E-5</v>
      </c>
      <c r="K54" s="7">
        <v>17.684757699999999</v>
      </c>
      <c r="L54" s="5">
        <v>17.642552814320844</v>
      </c>
      <c r="M54" s="9">
        <f t="shared" si="1"/>
        <v>4.2204885679154813E-2</v>
      </c>
      <c r="N54" s="7">
        <v>172.04442499999999</v>
      </c>
      <c r="O54" s="5">
        <v>172.04444609546829</v>
      </c>
      <c r="P54" s="9">
        <f t="shared" si="2"/>
        <v>-2.1095468298426567E-5</v>
      </c>
      <c r="Q54" s="7">
        <v>129.04428799999999</v>
      </c>
      <c r="R54" s="5">
        <v>129.04430333738489</v>
      </c>
      <c r="S54" s="9">
        <f t="shared" si="3"/>
        <v>-1.5337384894564821E-5</v>
      </c>
      <c r="T54" s="7">
        <v>6.4811644900000003</v>
      </c>
      <c r="U54" s="5">
        <v>6.4811652830456534</v>
      </c>
      <c r="V54" s="9">
        <f t="shared" si="4"/>
        <v>-7.9304565314686215E-7</v>
      </c>
      <c r="W54" s="7">
        <v>202.53639000000001</v>
      </c>
      <c r="X54" s="5">
        <v>202.53641509517666</v>
      </c>
      <c r="Y54" s="9">
        <f t="shared" si="5"/>
        <v>-2.5095176653167073E-5</v>
      </c>
      <c r="Z54" s="7">
        <v>5.2508957499999998</v>
      </c>
      <c r="AA54" s="5">
        <v>5.2508963880561135</v>
      </c>
      <c r="AB54" s="10">
        <f t="shared" si="6"/>
        <v>-6.3805611372202975E-7</v>
      </c>
      <c r="AC54" s="7">
        <v>164.09049200000001</v>
      </c>
      <c r="AD54" s="5">
        <v>164.09051212675354</v>
      </c>
      <c r="AE54" s="9">
        <f t="shared" si="7"/>
        <v>-2.0126753526028551E-5</v>
      </c>
    </row>
    <row r="55" spans="1:31" x14ac:dyDescent="0.3">
      <c r="A55">
        <v>1</v>
      </c>
      <c r="B55" s="1">
        <v>0.52822916666666664</v>
      </c>
      <c r="C55">
        <v>13.25</v>
      </c>
      <c r="D55">
        <v>85.7</v>
      </c>
      <c r="E55">
        <v>27.96</v>
      </c>
      <c r="F55">
        <v>10831</v>
      </c>
      <c r="G55">
        <v>29</v>
      </c>
      <c r="H55" s="7">
        <v>83.944146000000003</v>
      </c>
      <c r="I55" s="8">
        <v>83.944155886866454</v>
      </c>
      <c r="J55" s="9">
        <f t="shared" si="0"/>
        <v>-9.8868664508700022E-6</v>
      </c>
      <c r="K55" s="7">
        <v>17.586298500000002</v>
      </c>
      <c r="L55" s="5">
        <v>17.544328580355089</v>
      </c>
      <c r="M55" s="9">
        <f t="shared" si="1"/>
        <v>4.1969919644913034E-2</v>
      </c>
      <c r="N55" s="7">
        <v>171.08657400000001</v>
      </c>
      <c r="O55" s="5">
        <v>171.08659526154173</v>
      </c>
      <c r="P55" s="9">
        <f t="shared" si="2"/>
        <v>-2.12615417183315E-5</v>
      </c>
      <c r="Q55" s="7">
        <v>128.325838</v>
      </c>
      <c r="R55" s="5">
        <v>128.32585414375851</v>
      </c>
      <c r="S55" s="9">
        <f t="shared" si="3"/>
        <v>-1.6143758500675176E-5</v>
      </c>
      <c r="T55" s="7">
        <v>6.44508086</v>
      </c>
      <c r="U55" s="5">
        <v>6.4450816447064279</v>
      </c>
      <c r="V55" s="9">
        <f t="shared" si="4"/>
        <v>-7.8470642783656785E-7</v>
      </c>
      <c r="W55" s="7">
        <v>201.40877699999999</v>
      </c>
      <c r="X55" s="5">
        <v>201.40880139707588</v>
      </c>
      <c r="Y55" s="9">
        <f t="shared" si="5"/>
        <v>-2.4397075890192355E-5</v>
      </c>
      <c r="Z55" s="7">
        <v>5.2216615900000001</v>
      </c>
      <c r="AA55" s="5">
        <v>5.2216622244530022</v>
      </c>
      <c r="AB55" s="10">
        <f t="shared" si="6"/>
        <v>-6.344530021351602E-7</v>
      </c>
      <c r="AC55" s="7">
        <v>163.17692500000001</v>
      </c>
      <c r="AD55" s="5">
        <v>163.17694451415633</v>
      </c>
      <c r="AE55" s="9">
        <f t="shared" si="7"/>
        <v>-1.9514156321065457E-5</v>
      </c>
    </row>
    <row r="56" spans="1:31" x14ac:dyDescent="0.3">
      <c r="A56">
        <v>1</v>
      </c>
      <c r="B56" s="1">
        <v>0.52840277777777778</v>
      </c>
      <c r="C56">
        <v>13.5</v>
      </c>
      <c r="D56">
        <v>84.93</v>
      </c>
      <c r="E56">
        <v>28.06</v>
      </c>
      <c r="F56">
        <v>10877</v>
      </c>
      <c r="G56">
        <v>29</v>
      </c>
      <c r="H56" s="7">
        <v>83.167969999999997</v>
      </c>
      <c r="I56" s="8">
        <v>83.167980308658883</v>
      </c>
      <c r="J56" s="9">
        <f t="shared" si="0"/>
        <v>-1.0308658886515332E-5</v>
      </c>
      <c r="K56" s="7">
        <v>17.423689700000001</v>
      </c>
      <c r="L56" s="5">
        <v>17.382107884509704</v>
      </c>
      <c r="M56" s="9">
        <f t="shared" si="1"/>
        <v>4.1581815490296492E-2</v>
      </c>
      <c r="N56" s="7">
        <v>169.504651</v>
      </c>
      <c r="O56" s="5">
        <v>169.50467171251395</v>
      </c>
      <c r="P56" s="9">
        <f t="shared" si="2"/>
        <v>-2.0712513958187628E-5</v>
      </c>
      <c r="Q56" s="7">
        <v>127.139295</v>
      </c>
      <c r="R56" s="5">
        <v>127.13931062578865</v>
      </c>
      <c r="S56" s="9">
        <f t="shared" si="3"/>
        <v>-1.5625788648776506E-5</v>
      </c>
      <c r="T56" s="7">
        <v>6.3854875</v>
      </c>
      <c r="U56" s="5">
        <v>6.3854882767188217</v>
      </c>
      <c r="V56" s="9">
        <f t="shared" si="4"/>
        <v>-7.767188217044918E-7</v>
      </c>
      <c r="W56" s="7">
        <v>199.54648399999999</v>
      </c>
      <c r="X56" s="5">
        <v>199.54650864746318</v>
      </c>
      <c r="Y56" s="9">
        <f t="shared" si="5"/>
        <v>-2.4647463192195573E-5</v>
      </c>
      <c r="Z56" s="7">
        <v>5.1733803700000003</v>
      </c>
      <c r="AA56" s="5">
        <v>5.1733809992330873</v>
      </c>
      <c r="AB56" s="10">
        <f t="shared" si="6"/>
        <v>-6.2923308696838376E-7</v>
      </c>
      <c r="AC56" s="7">
        <v>161.668136</v>
      </c>
      <c r="AD56" s="5">
        <v>161.66815622603397</v>
      </c>
      <c r="AE56" s="9">
        <f t="shared" si="7"/>
        <v>-2.0226033967674084E-5</v>
      </c>
    </row>
    <row r="57" spans="1:31" x14ac:dyDescent="0.3">
      <c r="A57">
        <v>1</v>
      </c>
      <c r="B57" s="1">
        <v>0.52857638888888892</v>
      </c>
      <c r="C57">
        <v>13.75</v>
      </c>
      <c r="D57">
        <v>86.16</v>
      </c>
      <c r="E57">
        <v>27.9</v>
      </c>
      <c r="F57">
        <v>10857</v>
      </c>
      <c r="G57">
        <v>29</v>
      </c>
      <c r="H57" s="7">
        <v>84.414118000000002</v>
      </c>
      <c r="I57" s="8">
        <v>84.414128298185872</v>
      </c>
      <c r="J57" s="9">
        <f t="shared" si="0"/>
        <v>-1.0298185870283305E-5</v>
      </c>
      <c r="K57" s="7">
        <v>17.684757699999999</v>
      </c>
      <c r="L57" s="5">
        <v>17.642552814320844</v>
      </c>
      <c r="M57" s="9">
        <f t="shared" si="1"/>
        <v>4.2204885679154813E-2</v>
      </c>
      <c r="N57" s="7">
        <v>172.04442499999999</v>
      </c>
      <c r="O57" s="5">
        <v>172.04444609546829</v>
      </c>
      <c r="P57" s="9">
        <f t="shared" si="2"/>
        <v>-2.1095468298426567E-5</v>
      </c>
      <c r="Q57" s="7">
        <v>129.04428799999999</v>
      </c>
      <c r="R57" s="5">
        <v>129.04430333738489</v>
      </c>
      <c r="S57" s="9">
        <f t="shared" si="3"/>
        <v>-1.5337384894564821E-5</v>
      </c>
      <c r="T57" s="7">
        <v>6.4811644900000003</v>
      </c>
      <c r="U57" s="5">
        <v>6.4811652830456534</v>
      </c>
      <c r="V57" s="9">
        <f t="shared" si="4"/>
        <v>-7.9304565314686215E-7</v>
      </c>
      <c r="W57" s="7">
        <v>202.53639000000001</v>
      </c>
      <c r="X57" s="5">
        <v>202.53641509517666</v>
      </c>
      <c r="Y57" s="9">
        <f t="shared" si="5"/>
        <v>-2.5095176653167073E-5</v>
      </c>
      <c r="Z57" s="7">
        <v>5.2508957499999998</v>
      </c>
      <c r="AA57" s="5">
        <v>5.2508963880561135</v>
      </c>
      <c r="AB57" s="10">
        <f t="shared" si="6"/>
        <v>-6.3805611372202975E-7</v>
      </c>
      <c r="AC57" s="7">
        <v>164.09049200000001</v>
      </c>
      <c r="AD57" s="5">
        <v>164.09051212675354</v>
      </c>
      <c r="AE57" s="9">
        <f t="shared" si="7"/>
        <v>-2.0126753526028551E-5</v>
      </c>
    </row>
    <row r="58" spans="1:31" x14ac:dyDescent="0.3">
      <c r="A58">
        <v>1</v>
      </c>
      <c r="B58" s="1">
        <v>0.52874999999999994</v>
      </c>
      <c r="C58">
        <v>14</v>
      </c>
      <c r="D58">
        <v>86.04</v>
      </c>
      <c r="E58">
        <v>27.92</v>
      </c>
      <c r="F58">
        <v>10871</v>
      </c>
      <c r="G58">
        <v>29</v>
      </c>
      <c r="H58" s="7">
        <v>84.257103000000001</v>
      </c>
      <c r="I58" s="8">
        <v>84.257112789389112</v>
      </c>
      <c r="J58" s="9">
        <f t="shared" si="0"/>
        <v>-9.7893891108924436E-6</v>
      </c>
      <c r="K58" s="7">
        <v>17.651862999999999</v>
      </c>
      <c r="L58" s="5">
        <v>17.609736572982325</v>
      </c>
      <c r="M58" s="9">
        <f t="shared" si="1"/>
        <v>4.2126427017674217E-2</v>
      </c>
      <c r="N58" s="7">
        <v>171.724412</v>
      </c>
      <c r="O58" s="5">
        <v>171.72443276613657</v>
      </c>
      <c r="P58" s="9">
        <f t="shared" si="2"/>
        <v>-2.0766136572092364E-5</v>
      </c>
      <c r="Q58" s="7">
        <v>128.80425700000001</v>
      </c>
      <c r="R58" s="5">
        <v>128.80427293780212</v>
      </c>
      <c r="S58" s="9">
        <f t="shared" si="3"/>
        <v>-1.5937802118060063E-5</v>
      </c>
      <c r="T58" s="7">
        <v>6.4691091199999997</v>
      </c>
      <c r="U58" s="5">
        <v>6.469109914056725</v>
      </c>
      <c r="V58" s="9">
        <f t="shared" si="4"/>
        <v>-7.940567252617825E-7</v>
      </c>
      <c r="W58" s="7">
        <v>202.15966</v>
      </c>
      <c r="X58" s="5">
        <v>202.15968481427265</v>
      </c>
      <c r="Y58" s="9">
        <f t="shared" si="5"/>
        <v>-2.4814272649109625E-5</v>
      </c>
      <c r="Z58" s="7">
        <v>5.2411287599999996</v>
      </c>
      <c r="AA58" s="5">
        <v>5.2411293954373264</v>
      </c>
      <c r="AB58" s="10">
        <f t="shared" si="6"/>
        <v>-6.3543732675697129E-7</v>
      </c>
      <c r="AC58" s="7">
        <v>163.78527399999999</v>
      </c>
      <c r="AD58" s="5">
        <v>163.78529360741646</v>
      </c>
      <c r="AE58" s="9">
        <f t="shared" si="7"/>
        <v>-1.9607416476219441E-5</v>
      </c>
    </row>
    <row r="59" spans="1:31" x14ac:dyDescent="0.3">
      <c r="A59">
        <v>1</v>
      </c>
      <c r="B59" s="1">
        <v>0.52892361111111108</v>
      </c>
      <c r="C59">
        <v>14.25</v>
      </c>
      <c r="D59">
        <v>85.82</v>
      </c>
      <c r="E59">
        <v>27.94</v>
      </c>
      <c r="F59">
        <v>10831</v>
      </c>
      <c r="G59">
        <v>29</v>
      </c>
      <c r="H59" s="7">
        <v>84.100444999999993</v>
      </c>
      <c r="I59" s="8">
        <v>84.100455670626488</v>
      </c>
      <c r="J59" s="9">
        <f t="shared" si="0"/>
        <v>-1.0670626494402313E-5</v>
      </c>
      <c r="K59" s="7">
        <v>17.619043300000001</v>
      </c>
      <c r="L59" s="5">
        <v>17.576995235160936</v>
      </c>
      <c r="M59" s="9">
        <f t="shared" si="1"/>
        <v>4.2048064839065091E-2</v>
      </c>
      <c r="N59" s="7">
        <v>171.40512899999999</v>
      </c>
      <c r="O59" s="5">
        <v>171.40514987158105</v>
      </c>
      <c r="P59" s="9">
        <f t="shared" si="2"/>
        <v>-2.0871581057235744E-5</v>
      </c>
      <c r="Q59" s="7">
        <v>128.564775</v>
      </c>
      <c r="R59" s="5">
        <v>128.5647904108707</v>
      </c>
      <c r="S59" s="9">
        <f t="shared" si="3"/>
        <v>-1.5410870702226021E-5</v>
      </c>
      <c r="T59" s="7">
        <v>6.4570812699999998</v>
      </c>
      <c r="U59" s="5">
        <v>6.4570820616114606</v>
      </c>
      <c r="V59" s="9">
        <f t="shared" si="4"/>
        <v>-7.9161146082640244E-7</v>
      </c>
      <c r="W59" s="7">
        <v>201.78379000000001</v>
      </c>
      <c r="X59" s="5">
        <v>201.78381442535814</v>
      </c>
      <c r="Y59" s="9">
        <f t="shared" si="5"/>
        <v>-2.4425358134294584E-5</v>
      </c>
      <c r="Z59" s="7">
        <v>5.2313840599999999</v>
      </c>
      <c r="AA59" s="5">
        <v>5.2313846961120172</v>
      </c>
      <c r="AB59" s="10">
        <f t="shared" si="6"/>
        <v>-6.3611201728264177E-7</v>
      </c>
      <c r="AC59" s="7">
        <v>163.480752</v>
      </c>
      <c r="AD59" s="5">
        <v>163.48077175350053</v>
      </c>
      <c r="AE59" s="9">
        <f t="shared" si="7"/>
        <v>-1.9753500538399749E-5</v>
      </c>
    </row>
    <row r="60" spans="1:31" x14ac:dyDescent="0.3">
      <c r="A60">
        <v>1</v>
      </c>
      <c r="B60" s="1">
        <v>0.52909722222222222</v>
      </c>
      <c r="C60">
        <v>14.5</v>
      </c>
      <c r="D60">
        <v>87.02</v>
      </c>
      <c r="E60">
        <v>27.8</v>
      </c>
      <c r="F60">
        <v>10822</v>
      </c>
      <c r="G60">
        <v>29</v>
      </c>
      <c r="H60" s="7">
        <v>85.204607999999993</v>
      </c>
      <c r="I60" s="8">
        <v>85.204618862521741</v>
      </c>
      <c r="J60" s="9">
        <f t="shared" si="0"/>
        <v>-1.0862521747867504E-5</v>
      </c>
      <c r="K60" s="7">
        <v>17.850365499999999</v>
      </c>
      <c r="L60" s="5">
        <v>17.807765342267043</v>
      </c>
      <c r="M60" s="9">
        <f t="shared" si="1"/>
        <v>4.2600157732955779E-2</v>
      </c>
      <c r="N60" s="7">
        <v>173.65552400000001</v>
      </c>
      <c r="O60" s="5">
        <v>173.65554501962529</v>
      </c>
      <c r="P60" s="9">
        <f t="shared" si="2"/>
        <v>-2.1019625279450338E-5</v>
      </c>
      <c r="Q60" s="7">
        <v>130.252714</v>
      </c>
      <c r="R60" s="5">
        <v>130.25273024678995</v>
      </c>
      <c r="S60" s="9">
        <f t="shared" si="3"/>
        <v>-1.6246789954266205E-5</v>
      </c>
      <c r="T60" s="7">
        <v>6.5418569299999998</v>
      </c>
      <c r="U60" s="5">
        <v>6.5418577299788394</v>
      </c>
      <c r="V60" s="9">
        <f t="shared" si="4"/>
        <v>-7.9997883961624439E-7</v>
      </c>
      <c r="W60" s="7">
        <v>204.433029</v>
      </c>
      <c r="X60" s="5">
        <v>204.43305406183873</v>
      </c>
      <c r="Y60" s="9">
        <f t="shared" si="5"/>
        <v>-2.5061838726969654E-5</v>
      </c>
      <c r="Z60" s="7">
        <v>5.3000674200000004</v>
      </c>
      <c r="AA60" s="5">
        <v>5.3000680626649102</v>
      </c>
      <c r="AB60" s="10">
        <f t="shared" si="6"/>
        <v>-6.4266490973352575E-7</v>
      </c>
      <c r="AC60" s="7">
        <v>165.627107</v>
      </c>
      <c r="AD60" s="5">
        <v>165.62712695827844</v>
      </c>
      <c r="AE60" s="9">
        <f t="shared" si="7"/>
        <v>-1.995827844325504E-5</v>
      </c>
    </row>
    <row r="61" spans="1:31" x14ac:dyDescent="0.3">
      <c r="A61">
        <v>1</v>
      </c>
      <c r="B61" s="1">
        <v>0.52927083333333336</v>
      </c>
      <c r="C61">
        <v>14.75</v>
      </c>
      <c r="D61">
        <v>86.13</v>
      </c>
      <c r="E61">
        <v>27.91</v>
      </c>
      <c r="F61">
        <v>10823</v>
      </c>
      <c r="G61">
        <v>29</v>
      </c>
      <c r="H61" s="7">
        <v>84.335565000000003</v>
      </c>
      <c r="I61" s="8">
        <v>84.335575678958293</v>
      </c>
      <c r="J61" s="9">
        <f t="shared" si="0"/>
        <v>-1.0678958290100127E-5</v>
      </c>
      <c r="K61" s="7">
        <v>17.668300899999998</v>
      </c>
      <c r="L61" s="5">
        <v>17.626135316902282</v>
      </c>
      <c r="M61" s="9">
        <f t="shared" si="1"/>
        <v>4.2165583097716564E-2</v>
      </c>
      <c r="N61" s="7">
        <v>171.88432700000001</v>
      </c>
      <c r="O61" s="5">
        <v>171.88434799178808</v>
      </c>
      <c r="P61" s="9">
        <f t="shared" si="2"/>
        <v>-2.099178806247437E-5</v>
      </c>
      <c r="Q61" s="7">
        <v>128.924204</v>
      </c>
      <c r="R61" s="5">
        <v>128.92421955250302</v>
      </c>
      <c r="S61" s="9">
        <f t="shared" si="3"/>
        <v>-1.5552503015214825E-5</v>
      </c>
      <c r="T61" s="7">
        <v>6.4751333600000001</v>
      </c>
      <c r="U61" s="5">
        <v>6.4751341539101173</v>
      </c>
      <c r="V61" s="9">
        <f t="shared" si="4"/>
        <v>-7.9391011720275628E-7</v>
      </c>
      <c r="W61" s="7">
        <v>202.34791799999999</v>
      </c>
      <c r="X61" s="5">
        <v>202.34794230969118</v>
      </c>
      <c r="Y61" s="9">
        <f t="shared" si="5"/>
        <v>-2.4309691184498661E-5</v>
      </c>
      <c r="Z61" s="7">
        <v>5.2460094599999998</v>
      </c>
      <c r="AA61" s="5">
        <v>5.2460101009749112</v>
      </c>
      <c r="AB61" s="10">
        <f t="shared" si="6"/>
        <v>-6.4097491137005136E-7</v>
      </c>
      <c r="AC61" s="7">
        <v>163.93779599999999</v>
      </c>
      <c r="AD61" s="5">
        <v>163.93781565546598</v>
      </c>
      <c r="AE61" s="9">
        <f t="shared" si="7"/>
        <v>-1.9655465990808807E-5</v>
      </c>
    </row>
    <row r="62" spans="1:31" x14ac:dyDescent="0.3">
      <c r="A62">
        <v>1</v>
      </c>
      <c r="B62" s="1">
        <v>0.5294444444444445</v>
      </c>
      <c r="C62">
        <v>15</v>
      </c>
      <c r="D62">
        <v>85.16</v>
      </c>
      <c r="E62">
        <v>28.03</v>
      </c>
      <c r="F62">
        <v>10825</v>
      </c>
      <c r="G62">
        <v>29</v>
      </c>
      <c r="H62" s="7">
        <v>83.399895000000001</v>
      </c>
      <c r="I62" s="8">
        <v>83.39990550590845</v>
      </c>
      <c r="J62" s="9">
        <f t="shared" si="0"/>
        <v>-1.0505908448976697E-5</v>
      </c>
      <c r="K62" s="7">
        <v>17.4722781</v>
      </c>
      <c r="L62" s="5">
        <v>17.430580250734867</v>
      </c>
      <c r="M62" s="9">
        <f t="shared" si="1"/>
        <v>4.1697849265133868E-2</v>
      </c>
      <c r="N62" s="7">
        <v>169.977338</v>
      </c>
      <c r="O62" s="5">
        <v>169.97735848782997</v>
      </c>
      <c r="P62" s="9">
        <f t="shared" si="2"/>
        <v>-2.0487829971216343E-5</v>
      </c>
      <c r="Q62" s="7">
        <v>127.49384000000001</v>
      </c>
      <c r="R62" s="5">
        <v>127.49385584361919</v>
      </c>
      <c r="S62" s="9">
        <f t="shared" si="3"/>
        <v>-1.5843619181055146E-5</v>
      </c>
      <c r="T62" s="7">
        <v>6.4032942999999998</v>
      </c>
      <c r="U62" s="5">
        <v>6.4032950771559198</v>
      </c>
      <c r="V62" s="9">
        <f t="shared" si="4"/>
        <v>-7.771559200620004E-7</v>
      </c>
      <c r="W62" s="7">
        <v>200.102947</v>
      </c>
      <c r="X62" s="5">
        <v>200.1029711611225</v>
      </c>
      <c r="Y62" s="9">
        <f t="shared" si="5"/>
        <v>-2.4161122496479948E-5</v>
      </c>
      <c r="Z62" s="7">
        <v>5.18780704</v>
      </c>
      <c r="AA62" s="5">
        <v>5.1878076740692602</v>
      </c>
      <c r="AB62" s="10">
        <f t="shared" si="6"/>
        <v>-6.3406926020803667E-7</v>
      </c>
      <c r="AC62" s="7">
        <v>162.11896999999999</v>
      </c>
      <c r="AD62" s="5">
        <v>162.11898981466439</v>
      </c>
      <c r="AE62" s="9">
        <f t="shared" si="7"/>
        <v>-1.9814664398154491E-5</v>
      </c>
    </row>
    <row r="63" spans="1:31" x14ac:dyDescent="0.3">
      <c r="A63">
        <v>1</v>
      </c>
      <c r="B63" s="1">
        <v>0.52961805555555552</v>
      </c>
      <c r="C63">
        <v>15.25</v>
      </c>
      <c r="D63">
        <v>85.8</v>
      </c>
      <c r="E63">
        <v>27.95</v>
      </c>
      <c r="F63">
        <v>10795</v>
      </c>
      <c r="G63">
        <v>29</v>
      </c>
      <c r="H63" s="7">
        <v>84.022250999999997</v>
      </c>
      <c r="I63" s="8">
        <v>84.022261177675304</v>
      </c>
      <c r="J63" s="9">
        <f t="shared" si="0"/>
        <v>-1.0177675306977108E-5</v>
      </c>
      <c r="K63" s="7">
        <v>17.602661600000001</v>
      </c>
      <c r="L63" s="5">
        <v>17.56065258613414</v>
      </c>
      <c r="M63" s="9">
        <f t="shared" si="1"/>
        <v>4.2009013865861533E-2</v>
      </c>
      <c r="N63" s="7">
        <v>171.24576099999999</v>
      </c>
      <c r="O63" s="5">
        <v>171.24578166511228</v>
      </c>
      <c r="P63" s="9">
        <f t="shared" si="2"/>
        <v>-2.0665112288043019E-5</v>
      </c>
      <c r="Q63" s="7">
        <v>128.44523799999999</v>
      </c>
      <c r="R63" s="5">
        <v>128.44525409543232</v>
      </c>
      <c r="S63" s="9">
        <f t="shared" si="3"/>
        <v>-1.6095432329166215E-5</v>
      </c>
      <c r="T63" s="7">
        <v>6.4510776400000003</v>
      </c>
      <c r="U63" s="5">
        <v>6.4510784287687404</v>
      </c>
      <c r="V63" s="9">
        <f t="shared" si="4"/>
        <v>-7.8876874010092024E-7</v>
      </c>
      <c r="W63" s="7">
        <v>201.59617600000001</v>
      </c>
      <c r="X63" s="5">
        <v>201.59620089902313</v>
      </c>
      <c r="Y63" s="9">
        <f t="shared" si="5"/>
        <v>-2.4899023117086472E-5</v>
      </c>
      <c r="Z63" s="7">
        <v>5.2265200500000004</v>
      </c>
      <c r="AA63" s="5">
        <v>5.2265206859175048</v>
      </c>
      <c r="AB63" s="10">
        <f t="shared" si="6"/>
        <v>-6.3591750443237061E-7</v>
      </c>
      <c r="AC63" s="7">
        <v>163.32875100000001</v>
      </c>
      <c r="AD63" s="5">
        <v>163.32877143492203</v>
      </c>
      <c r="AE63" s="9">
        <f t="shared" si="7"/>
        <v>-2.0434922021195234E-5</v>
      </c>
    </row>
    <row r="64" spans="1:31" x14ac:dyDescent="0.3">
      <c r="A64">
        <v>1</v>
      </c>
      <c r="B64" s="1">
        <v>0.52979166666666666</v>
      </c>
      <c r="C64">
        <v>15.5</v>
      </c>
      <c r="D64">
        <v>87.69</v>
      </c>
      <c r="E64">
        <v>27.71</v>
      </c>
      <c r="F64">
        <v>10788</v>
      </c>
      <c r="G64">
        <v>29</v>
      </c>
      <c r="H64" s="7">
        <v>85.923844000000003</v>
      </c>
      <c r="I64" s="8">
        <v>85.923854130157864</v>
      </c>
      <c r="J64" s="9">
        <f t="shared" si="0"/>
        <v>-1.0130157860999134E-5</v>
      </c>
      <c r="K64" s="7">
        <v>18.0010452</v>
      </c>
      <c r="L64" s="5">
        <v>17.958085513202992</v>
      </c>
      <c r="M64" s="9">
        <f t="shared" si="1"/>
        <v>4.2959686797008345E-2</v>
      </c>
      <c r="N64" s="7">
        <v>175.121397</v>
      </c>
      <c r="O64" s="5">
        <v>175.12141851411519</v>
      </c>
      <c r="P64" s="9">
        <f t="shared" si="2"/>
        <v>-2.1514115189802396E-5</v>
      </c>
      <c r="Q64" s="7">
        <v>131.35221300000001</v>
      </c>
      <c r="R64" s="5">
        <v>131.35222882503652</v>
      </c>
      <c r="S64" s="9">
        <f t="shared" si="3"/>
        <v>-1.5825036513206214E-5</v>
      </c>
      <c r="T64" s="7">
        <v>6.5970785200000002</v>
      </c>
      <c r="U64" s="5">
        <v>6.5970793231045652</v>
      </c>
      <c r="V64" s="9">
        <f t="shared" si="4"/>
        <v>-8.0310456507248773E-7</v>
      </c>
      <c r="W64" s="7">
        <v>206.158704</v>
      </c>
      <c r="X64" s="5">
        <v>206.15872884701767</v>
      </c>
      <c r="Y64" s="9">
        <f t="shared" si="5"/>
        <v>-2.4847017670026617E-5</v>
      </c>
      <c r="Z64" s="7">
        <v>5.3448067200000002</v>
      </c>
      <c r="AA64" s="5">
        <v>5.3448073728388232</v>
      </c>
      <c r="AB64" s="10">
        <f t="shared" si="6"/>
        <v>-6.528388230009341E-7</v>
      </c>
      <c r="AC64" s="7">
        <v>167.02520999999999</v>
      </c>
      <c r="AD64" s="5">
        <v>167.02523040121324</v>
      </c>
      <c r="AE64" s="9">
        <f t="shared" si="7"/>
        <v>-2.0401213248533168E-5</v>
      </c>
    </row>
    <row r="65" spans="1:31" x14ac:dyDescent="0.3">
      <c r="A65">
        <v>1</v>
      </c>
      <c r="B65" s="1">
        <v>0.5299652777777778</v>
      </c>
      <c r="C65">
        <v>15.75</v>
      </c>
      <c r="D65">
        <v>87.28</v>
      </c>
      <c r="E65">
        <v>27.76</v>
      </c>
      <c r="F65">
        <v>10791</v>
      </c>
      <c r="G65">
        <v>29</v>
      </c>
      <c r="H65" s="7">
        <v>85.523351000000005</v>
      </c>
      <c r="I65" s="8">
        <v>85.523361135558446</v>
      </c>
      <c r="J65" s="9">
        <f t="shared" si="0"/>
        <v>-1.0135558440538261E-5</v>
      </c>
      <c r="K65" s="7">
        <v>17.917141999999998</v>
      </c>
      <c r="L65" s="5">
        <v>17.874382477331714</v>
      </c>
      <c r="M65" s="9">
        <f t="shared" si="1"/>
        <v>4.2759522668283978E-2</v>
      </c>
      <c r="N65" s="7">
        <v>174.30515199999999</v>
      </c>
      <c r="O65" s="5">
        <v>174.30517368863315</v>
      </c>
      <c r="P65" s="9">
        <f t="shared" si="2"/>
        <v>-2.1688633154326453E-5</v>
      </c>
      <c r="Q65" s="7">
        <v>130.73997700000001</v>
      </c>
      <c r="R65" s="5">
        <v>130.73999316589396</v>
      </c>
      <c r="S65" s="9">
        <f t="shared" si="3"/>
        <v>-1.6165893953257182E-5</v>
      </c>
      <c r="T65" s="7">
        <v>6.5663293899999999</v>
      </c>
      <c r="U65" s="5">
        <v>6.5663301896949093</v>
      </c>
      <c r="V65" s="9">
        <f t="shared" si="4"/>
        <v>-7.9969490940356991E-7</v>
      </c>
      <c r="W65" s="7">
        <v>205.19779299999999</v>
      </c>
      <c r="X65" s="5">
        <v>205.19781842796593</v>
      </c>
      <c r="Y65" s="9">
        <f t="shared" si="5"/>
        <v>-2.5427965937296904E-5</v>
      </c>
      <c r="Z65" s="7">
        <v>5.3198944600000004</v>
      </c>
      <c r="AA65" s="5">
        <v>5.3198951068333589</v>
      </c>
      <c r="AB65" s="10">
        <f t="shared" si="6"/>
        <v>-6.4683335843085388E-7</v>
      </c>
      <c r="AC65" s="7">
        <v>166.246702</v>
      </c>
      <c r="AD65" s="5">
        <v>166.24672208854247</v>
      </c>
      <c r="AE65" s="9">
        <f t="shared" si="7"/>
        <v>-2.0088542470375614E-5</v>
      </c>
    </row>
    <row r="66" spans="1:31" x14ac:dyDescent="0.3">
      <c r="A66">
        <v>1</v>
      </c>
      <c r="B66" s="1">
        <v>0.53013888888888883</v>
      </c>
      <c r="C66">
        <v>16</v>
      </c>
      <c r="D66">
        <v>86.45</v>
      </c>
      <c r="E66">
        <v>27.87</v>
      </c>
      <c r="F66">
        <v>10791</v>
      </c>
      <c r="G66">
        <v>29</v>
      </c>
      <c r="H66" s="7">
        <v>84.650316000000004</v>
      </c>
      <c r="I66" s="8">
        <v>84.650325859124948</v>
      </c>
      <c r="J66" s="9">
        <f t="shared" si="0"/>
        <v>-9.8591249440005413E-6</v>
      </c>
      <c r="K66" s="7">
        <v>17.734241099999998</v>
      </c>
      <c r="L66" s="5">
        <v>17.691918104557111</v>
      </c>
      <c r="M66" s="9">
        <f t="shared" si="1"/>
        <v>4.2322995442887645E-2</v>
      </c>
      <c r="N66" s="7">
        <v>172.52581900000001</v>
      </c>
      <c r="O66" s="5">
        <v>172.52584037578731</v>
      </c>
      <c r="P66" s="9">
        <f t="shared" si="2"/>
        <v>-2.1375787298438809E-5</v>
      </c>
      <c r="Q66" s="7">
        <v>129.40536399999999</v>
      </c>
      <c r="R66" s="5">
        <v>129.4053797391183</v>
      </c>
      <c r="S66" s="9">
        <f t="shared" si="3"/>
        <v>-1.573911831087571E-5</v>
      </c>
      <c r="T66" s="7">
        <v>6.4992993099999996</v>
      </c>
      <c r="U66" s="5">
        <v>6.499300107899745</v>
      </c>
      <c r="V66" s="9">
        <f t="shared" si="4"/>
        <v>-7.9789974538613251E-7</v>
      </c>
      <c r="W66" s="7">
        <v>203.103104</v>
      </c>
      <c r="X66" s="5">
        <v>203.10312837186703</v>
      </c>
      <c r="Y66" s="9">
        <f t="shared" si="5"/>
        <v>-2.4371867027639382E-5</v>
      </c>
      <c r="Z66" s="7">
        <v>5.26558818</v>
      </c>
      <c r="AA66" s="5">
        <v>5.2655888210007689</v>
      </c>
      <c r="AB66" s="10">
        <f t="shared" si="6"/>
        <v>-6.4100076890838409E-7</v>
      </c>
      <c r="AC66" s="7">
        <v>164.54963100000001</v>
      </c>
      <c r="AD66" s="5">
        <v>164.54965065627403</v>
      </c>
      <c r="AE66" s="9">
        <f t="shared" si="7"/>
        <v>-1.9656274020007913E-5</v>
      </c>
    </row>
    <row r="67" spans="1:31" x14ac:dyDescent="0.3">
      <c r="A67">
        <v>1</v>
      </c>
      <c r="B67" s="1">
        <v>0.53031249999999996</v>
      </c>
      <c r="C67">
        <v>16.25</v>
      </c>
      <c r="D67">
        <v>86.25</v>
      </c>
      <c r="E67">
        <v>27.89</v>
      </c>
      <c r="F67">
        <v>10752</v>
      </c>
      <c r="G67">
        <v>29</v>
      </c>
      <c r="H67" s="7">
        <v>84.492760000000004</v>
      </c>
      <c r="I67" s="8">
        <v>84.492770779493569</v>
      </c>
      <c r="J67" s="9">
        <f t="shared" ref="J67:J92" si="8">H67-I67</f>
        <v>-1.0779493564427867E-5</v>
      </c>
      <c r="K67" s="7">
        <v>17.701233299999998</v>
      </c>
      <c r="L67" s="5">
        <v>17.658989092914155</v>
      </c>
      <c r="M67" s="9">
        <f t="shared" ref="M67:M92" si="9">K67-L67</f>
        <v>4.2244207085843755E-2</v>
      </c>
      <c r="N67" s="7">
        <v>172.20470599999999</v>
      </c>
      <c r="O67" s="5">
        <v>172.2047273470659</v>
      </c>
      <c r="P67" s="9">
        <f t="shared" ref="P67:P92" si="10">N67-O67</f>
        <v>-2.134706591050417E-5</v>
      </c>
      <c r="Q67" s="7">
        <v>129.16450900000001</v>
      </c>
      <c r="R67" s="5">
        <v>129.16452449488148</v>
      </c>
      <c r="S67" s="9">
        <f t="shared" ref="S67:S92" si="11">Q67-R67</f>
        <v>-1.5494881466793231E-5</v>
      </c>
      <c r="T67" s="7">
        <v>6.4872025200000003</v>
      </c>
      <c r="U67" s="5">
        <v>6.4872033116304362</v>
      </c>
      <c r="V67" s="9">
        <f t="shared" ref="V67:V92" si="12">T67-U67</f>
        <v>-7.9163043587016091E-7</v>
      </c>
      <c r="W67" s="7">
        <v>202.72507899999999</v>
      </c>
      <c r="X67" s="5">
        <v>202.72510348845114</v>
      </c>
      <c r="Y67" s="9">
        <f t="shared" ref="Y67:Y92" si="13">W67-X67</f>
        <v>-2.4488451145998624E-5</v>
      </c>
      <c r="Z67" s="7">
        <v>5.2557876200000004</v>
      </c>
      <c r="AA67" s="5">
        <v>5.2557882649180963</v>
      </c>
      <c r="AB67" s="10">
        <f t="shared" ref="AB67:AB92" si="14">Z67-AA67</f>
        <v>-6.4491809581568305E-7</v>
      </c>
      <c r="AC67" s="7">
        <v>164.24336299999999</v>
      </c>
      <c r="AD67" s="5">
        <v>164.24338327869052</v>
      </c>
      <c r="AE67" s="9">
        <f t="shared" ref="AE67:AE92" si="15">AC67-AD67</f>
        <v>-2.027869052767528E-5</v>
      </c>
    </row>
    <row r="68" spans="1:31" x14ac:dyDescent="0.3">
      <c r="A68">
        <v>1</v>
      </c>
      <c r="B68" s="1">
        <v>0.5304861111111111</v>
      </c>
      <c r="C68">
        <v>16.5</v>
      </c>
      <c r="D68">
        <v>88.33</v>
      </c>
      <c r="E68">
        <v>27.64</v>
      </c>
      <c r="F68">
        <v>10739</v>
      </c>
      <c r="G68">
        <v>29</v>
      </c>
      <c r="H68" s="7">
        <v>86.488418999999993</v>
      </c>
      <c r="I68" s="8">
        <v>86.488429816174531</v>
      </c>
      <c r="J68" s="9">
        <f t="shared" si="8"/>
        <v>-1.0816174537353618E-5</v>
      </c>
      <c r="K68" s="7">
        <v>18.1193238</v>
      </c>
      <c r="L68" s="5">
        <v>18.076081831580474</v>
      </c>
      <c r="M68" s="9">
        <f t="shared" si="9"/>
        <v>4.3241968419525989E-2</v>
      </c>
      <c r="N68" s="7">
        <v>176.27205900000001</v>
      </c>
      <c r="O68" s="5">
        <v>176.27208029476637</v>
      </c>
      <c r="P68" s="9">
        <f t="shared" si="10"/>
        <v>-2.1294766355595129E-5</v>
      </c>
      <c r="Q68" s="7">
        <v>132.215282</v>
      </c>
      <c r="R68" s="5">
        <v>132.21529852144909</v>
      </c>
      <c r="S68" s="9">
        <f t="shared" si="11"/>
        <v>-1.6521449083484185E-5</v>
      </c>
      <c r="T68" s="7">
        <v>6.6404256200000003</v>
      </c>
      <c r="U68" s="5">
        <v>6.6404264311021448</v>
      </c>
      <c r="V68" s="9">
        <f t="shared" si="12"/>
        <v>-8.111021445600386E-7</v>
      </c>
      <c r="W68" s="7">
        <v>207.51330100000001</v>
      </c>
      <c r="X68" s="5">
        <v>207.51332597194204</v>
      </c>
      <c r="Y68" s="9">
        <f t="shared" si="13"/>
        <v>-2.4971942025331373E-5</v>
      </c>
      <c r="Z68" s="7">
        <v>5.3799255800000001</v>
      </c>
      <c r="AA68" s="5">
        <v>5.3799262384867319</v>
      </c>
      <c r="AB68" s="10">
        <f t="shared" si="14"/>
        <v>-6.584867318082388E-7</v>
      </c>
      <c r="AC68" s="7">
        <v>168.12267399999999</v>
      </c>
      <c r="AD68" s="5">
        <v>168.12269495271036</v>
      </c>
      <c r="AE68" s="9">
        <f t="shared" si="15"/>
        <v>-2.0952710372057481E-5</v>
      </c>
    </row>
    <row r="69" spans="1:31" x14ac:dyDescent="0.3">
      <c r="A69">
        <v>1</v>
      </c>
      <c r="B69" s="1">
        <v>0.53065972222222224</v>
      </c>
      <c r="C69">
        <v>16.75</v>
      </c>
      <c r="D69">
        <v>87.91</v>
      </c>
      <c r="E69">
        <v>27.69</v>
      </c>
      <c r="F69">
        <v>10747</v>
      </c>
      <c r="G69">
        <v>29</v>
      </c>
      <c r="H69" s="7">
        <v>86.084687000000002</v>
      </c>
      <c r="I69" s="8">
        <v>86.084697312398163</v>
      </c>
      <c r="J69" s="9">
        <f t="shared" si="8"/>
        <v>-1.0312398160294833E-5</v>
      </c>
      <c r="K69" s="7">
        <v>18.0347419</v>
      </c>
      <c r="L69" s="5">
        <v>17.991701738291216</v>
      </c>
      <c r="M69" s="9">
        <f t="shared" si="9"/>
        <v>4.3040161708784552E-2</v>
      </c>
      <c r="N69" s="7">
        <v>175.44921199999999</v>
      </c>
      <c r="O69" s="5">
        <v>175.44923302520056</v>
      </c>
      <c r="P69" s="9">
        <f t="shared" si="10"/>
        <v>-2.1025200567237334E-5</v>
      </c>
      <c r="Q69" s="7">
        <v>131.598095</v>
      </c>
      <c r="R69" s="5">
        <v>131.59811060830211</v>
      </c>
      <c r="S69" s="9">
        <f t="shared" si="11"/>
        <v>-1.5608302106784322E-5</v>
      </c>
      <c r="T69" s="7">
        <v>6.6094277699999999</v>
      </c>
      <c r="U69" s="5">
        <v>6.6094285739914325</v>
      </c>
      <c r="V69" s="9">
        <f t="shared" si="12"/>
        <v>-8.0399143254084038E-7</v>
      </c>
      <c r="W69" s="7">
        <v>206.54461800000001</v>
      </c>
      <c r="X69" s="5">
        <v>206.54464293723225</v>
      </c>
      <c r="Y69" s="9">
        <f t="shared" si="13"/>
        <v>-2.4937232240063167E-5</v>
      </c>
      <c r="Z69" s="7">
        <v>5.3548118100000002</v>
      </c>
      <c r="AA69" s="5">
        <v>5.3548124620542898</v>
      </c>
      <c r="AB69" s="10">
        <f t="shared" si="14"/>
        <v>-6.5205428967374246E-7</v>
      </c>
      <c r="AC69" s="7">
        <v>167.33786900000001</v>
      </c>
      <c r="AD69" s="5">
        <v>167.33788943919654</v>
      </c>
      <c r="AE69" s="9">
        <f t="shared" si="15"/>
        <v>-2.0439196532606729E-5</v>
      </c>
    </row>
    <row r="70" spans="1:31" x14ac:dyDescent="0.3">
      <c r="A70">
        <v>1</v>
      </c>
      <c r="B70" s="1">
        <v>0.53083333333333338</v>
      </c>
      <c r="C70">
        <v>17</v>
      </c>
      <c r="D70">
        <v>87.33</v>
      </c>
      <c r="E70">
        <v>27.76</v>
      </c>
      <c r="F70">
        <v>10779</v>
      </c>
      <c r="G70">
        <v>29</v>
      </c>
      <c r="H70" s="7">
        <v>85.523351000000005</v>
      </c>
      <c r="I70" s="8">
        <v>85.523361135558446</v>
      </c>
      <c r="J70" s="9">
        <f t="shared" si="8"/>
        <v>-1.0135558440538261E-5</v>
      </c>
      <c r="K70" s="7">
        <v>17.917141999999998</v>
      </c>
      <c r="L70" s="5">
        <v>17.874382477331714</v>
      </c>
      <c r="M70" s="9">
        <f t="shared" si="9"/>
        <v>4.2759522668283978E-2</v>
      </c>
      <c r="N70" s="7">
        <v>174.30515199999999</v>
      </c>
      <c r="O70" s="5">
        <v>174.30517368863315</v>
      </c>
      <c r="P70" s="9">
        <f t="shared" si="10"/>
        <v>-2.1688633154326453E-5</v>
      </c>
      <c r="Q70" s="7">
        <v>130.73997700000001</v>
      </c>
      <c r="R70" s="5">
        <v>130.73999316589396</v>
      </c>
      <c r="S70" s="9">
        <f t="shared" si="11"/>
        <v>-1.6165893953257182E-5</v>
      </c>
      <c r="T70" s="7">
        <v>6.5663293899999999</v>
      </c>
      <c r="U70" s="5">
        <v>6.5663301896949093</v>
      </c>
      <c r="V70" s="9">
        <f t="shared" si="12"/>
        <v>-7.9969490940356991E-7</v>
      </c>
      <c r="W70" s="7">
        <v>205.19779299999999</v>
      </c>
      <c r="X70" s="5">
        <v>205.19781842796593</v>
      </c>
      <c r="Y70" s="9">
        <f t="shared" si="13"/>
        <v>-2.5427965937296904E-5</v>
      </c>
      <c r="Z70" s="7">
        <v>5.3198944600000004</v>
      </c>
      <c r="AA70" s="5">
        <v>5.3198951068333589</v>
      </c>
      <c r="AB70" s="10">
        <f t="shared" si="14"/>
        <v>-6.4683335843085388E-7</v>
      </c>
      <c r="AC70" s="7">
        <v>166.246702</v>
      </c>
      <c r="AD70" s="5">
        <v>166.24672208854247</v>
      </c>
      <c r="AE70" s="9">
        <f t="shared" si="15"/>
        <v>-2.0088542470375614E-5</v>
      </c>
    </row>
    <row r="71" spans="1:31" x14ac:dyDescent="0.3">
      <c r="A71">
        <v>1</v>
      </c>
      <c r="B71" s="1">
        <v>0.53100694444444441</v>
      </c>
      <c r="C71">
        <v>17.25</v>
      </c>
      <c r="D71">
        <v>87.39</v>
      </c>
      <c r="E71">
        <v>27.75</v>
      </c>
      <c r="F71">
        <v>10737</v>
      </c>
      <c r="G71">
        <v>29</v>
      </c>
      <c r="H71" s="7">
        <v>85.603264999999993</v>
      </c>
      <c r="I71" s="8">
        <v>85.603275712873042</v>
      </c>
      <c r="J71" s="9">
        <f t="shared" si="8"/>
        <v>-1.071287304910129E-5</v>
      </c>
      <c r="K71" s="7">
        <v>17.9338841</v>
      </c>
      <c r="L71" s="5">
        <v>17.891084623990466</v>
      </c>
      <c r="M71" s="9">
        <f t="shared" si="9"/>
        <v>4.2799476009534487E-2</v>
      </c>
      <c r="N71" s="7">
        <v>174.46802600000001</v>
      </c>
      <c r="O71" s="5">
        <v>174.46804759927139</v>
      </c>
      <c r="P71" s="9">
        <f t="shared" si="10"/>
        <v>-2.1599271377681362E-5</v>
      </c>
      <c r="Q71" s="7">
        <v>130.862143</v>
      </c>
      <c r="R71" s="5">
        <v>130.86215898296709</v>
      </c>
      <c r="S71" s="9">
        <f t="shared" si="11"/>
        <v>-1.5982967084937627E-5</v>
      </c>
      <c r="T71" s="7">
        <v>6.5724650899999997</v>
      </c>
      <c r="U71" s="5">
        <v>6.572465887528228</v>
      </c>
      <c r="V71" s="9">
        <f t="shared" si="12"/>
        <v>-7.9752822834677772E-7</v>
      </c>
      <c r="W71" s="7">
        <v>205.389534</v>
      </c>
      <c r="X71" s="5">
        <v>205.38955898525714</v>
      </c>
      <c r="Y71" s="9">
        <f t="shared" si="13"/>
        <v>-2.4985257141452166E-5</v>
      </c>
      <c r="Z71" s="7">
        <v>5.3248654599999998</v>
      </c>
      <c r="AA71" s="5">
        <v>5.3248661131546227</v>
      </c>
      <c r="AB71" s="10">
        <f t="shared" si="14"/>
        <v>-6.5315462283166426E-7</v>
      </c>
      <c r="AC71" s="7">
        <v>166.40204600000001</v>
      </c>
      <c r="AD71" s="5">
        <v>166.40206603608195</v>
      </c>
      <c r="AE71" s="9">
        <f t="shared" si="15"/>
        <v>-2.003608193490436E-5</v>
      </c>
    </row>
    <row r="72" spans="1:31" x14ac:dyDescent="0.3">
      <c r="A72">
        <v>1</v>
      </c>
      <c r="B72" s="1">
        <v>0.53118055555555554</v>
      </c>
      <c r="C72">
        <v>17.5</v>
      </c>
      <c r="D72">
        <v>87.83</v>
      </c>
      <c r="E72">
        <v>27.7</v>
      </c>
      <c r="F72">
        <v>10742</v>
      </c>
      <c r="G72">
        <v>29</v>
      </c>
      <c r="H72" s="7">
        <v>86.004219000000006</v>
      </c>
      <c r="I72" s="8">
        <v>86.004229442913186</v>
      </c>
      <c r="J72" s="9">
        <f t="shared" si="8"/>
        <v>-1.0442913179531388E-5</v>
      </c>
      <c r="K72" s="7">
        <v>18.017883900000001</v>
      </c>
      <c r="L72" s="5">
        <v>17.974883953568852</v>
      </c>
      <c r="M72" s="9">
        <f t="shared" si="9"/>
        <v>4.2999946431148572E-2</v>
      </c>
      <c r="N72" s="7">
        <v>175.28521000000001</v>
      </c>
      <c r="O72" s="5">
        <v>175.28523144971638</v>
      </c>
      <c r="P72" s="9">
        <f t="shared" si="10"/>
        <v>-2.1449716371080285E-5</v>
      </c>
      <c r="Q72" s="7">
        <v>131.47508300000001</v>
      </c>
      <c r="R72" s="5">
        <v>131.47509897069978</v>
      </c>
      <c r="S72" s="9">
        <f t="shared" si="11"/>
        <v>-1.5970699763556695E-5</v>
      </c>
      <c r="T72" s="7">
        <v>6.6032495899999999</v>
      </c>
      <c r="U72" s="5">
        <v>6.6032503953781969</v>
      </c>
      <c r="V72" s="9">
        <f t="shared" si="12"/>
        <v>-8.0537819702186653E-7</v>
      </c>
      <c r="W72" s="7">
        <v>206.35155</v>
      </c>
      <c r="X72" s="5">
        <v>206.35157485556866</v>
      </c>
      <c r="Y72" s="9">
        <f t="shared" si="13"/>
        <v>-2.4855568653947557E-5</v>
      </c>
      <c r="Z72" s="7">
        <v>5.3498063900000004</v>
      </c>
      <c r="AA72" s="5">
        <v>5.3498070387471772</v>
      </c>
      <c r="AB72" s="10">
        <f t="shared" si="14"/>
        <v>-6.4874717686791428E-7</v>
      </c>
      <c r="AC72" s="7">
        <v>167.18145000000001</v>
      </c>
      <c r="AD72" s="5">
        <v>167.18146996084928</v>
      </c>
      <c r="AE72" s="9">
        <f t="shared" si="15"/>
        <v>-1.9960849272138148E-5</v>
      </c>
    </row>
    <row r="73" spans="1:31" x14ac:dyDescent="0.3">
      <c r="A73">
        <v>1</v>
      </c>
      <c r="B73" s="1">
        <v>0.53135416666666668</v>
      </c>
      <c r="C73">
        <v>17.75</v>
      </c>
      <c r="D73">
        <v>87.3</v>
      </c>
      <c r="E73">
        <v>27.76</v>
      </c>
      <c r="F73">
        <v>10746</v>
      </c>
      <c r="G73">
        <v>29</v>
      </c>
      <c r="H73" s="7">
        <v>85.523351000000005</v>
      </c>
      <c r="I73" s="8">
        <v>85.523361135558446</v>
      </c>
      <c r="J73" s="9">
        <f t="shared" si="8"/>
        <v>-1.0135558440538261E-5</v>
      </c>
      <c r="K73" s="7">
        <v>17.917141999999998</v>
      </c>
      <c r="L73" s="5">
        <v>17.874382477331714</v>
      </c>
      <c r="M73" s="9">
        <f t="shared" si="9"/>
        <v>4.2759522668283978E-2</v>
      </c>
      <c r="N73" s="7">
        <v>174.30515199999999</v>
      </c>
      <c r="O73" s="5">
        <v>174.30517368863315</v>
      </c>
      <c r="P73" s="9">
        <f t="shared" si="10"/>
        <v>-2.1688633154326453E-5</v>
      </c>
      <c r="Q73" s="7">
        <v>130.73997700000001</v>
      </c>
      <c r="R73" s="5">
        <v>130.73999316589396</v>
      </c>
      <c r="S73" s="9">
        <f t="shared" si="11"/>
        <v>-1.6165893953257182E-5</v>
      </c>
      <c r="T73" s="7">
        <v>6.5663293899999999</v>
      </c>
      <c r="U73" s="5">
        <v>6.5663301896949093</v>
      </c>
      <c r="V73" s="9">
        <f t="shared" si="12"/>
        <v>-7.9969490940356991E-7</v>
      </c>
      <c r="W73" s="7">
        <v>205.19779299999999</v>
      </c>
      <c r="X73" s="5">
        <v>205.19781842796593</v>
      </c>
      <c r="Y73" s="9">
        <f t="shared" si="13"/>
        <v>-2.5427965937296904E-5</v>
      </c>
      <c r="Z73" s="7">
        <v>5.3198944600000004</v>
      </c>
      <c r="AA73" s="5">
        <v>5.3198951068333589</v>
      </c>
      <c r="AB73" s="10">
        <f t="shared" si="14"/>
        <v>-6.4683335843085388E-7</v>
      </c>
      <c r="AC73" s="7">
        <v>166.246702</v>
      </c>
      <c r="AD73" s="5">
        <v>166.24672208854247</v>
      </c>
      <c r="AE73" s="9">
        <f t="shared" si="15"/>
        <v>-2.0088542470375614E-5</v>
      </c>
    </row>
    <row r="74" spans="1:31" x14ac:dyDescent="0.3">
      <c r="A74">
        <v>1</v>
      </c>
      <c r="B74" s="1">
        <v>0.53152777777777771</v>
      </c>
      <c r="C74">
        <v>18</v>
      </c>
      <c r="D74">
        <v>88.08</v>
      </c>
      <c r="E74">
        <v>27.67</v>
      </c>
      <c r="F74">
        <v>10754</v>
      </c>
      <c r="G74">
        <v>29</v>
      </c>
      <c r="H74" s="7">
        <v>86.245901000000003</v>
      </c>
      <c r="I74" s="8">
        <v>86.245911270069172</v>
      </c>
      <c r="J74" s="9">
        <f t="shared" si="8"/>
        <v>-1.0270069168427653E-5</v>
      </c>
      <c r="K74" s="7">
        <v>18.068516200000001</v>
      </c>
      <c r="L74" s="5">
        <v>18.025395455444457</v>
      </c>
      <c r="M74" s="9">
        <f t="shared" si="9"/>
        <v>4.3120744555544377E-2</v>
      </c>
      <c r="N74" s="7">
        <v>175.777782</v>
      </c>
      <c r="O74" s="5">
        <v>175.77780321374044</v>
      </c>
      <c r="P74" s="9">
        <f t="shared" si="10"/>
        <v>-2.12137404389523E-5</v>
      </c>
      <c r="Q74" s="7">
        <v>131.84454299999999</v>
      </c>
      <c r="R74" s="5">
        <v>131.84455919783713</v>
      </c>
      <c r="S74" s="9">
        <f t="shared" si="11"/>
        <v>-1.6197837140907723E-5</v>
      </c>
      <c r="T74" s="7">
        <v>6.6218054799999999</v>
      </c>
      <c r="U74" s="5">
        <v>6.6218062923504819</v>
      </c>
      <c r="V74" s="9">
        <f t="shared" si="12"/>
        <v>-8.1235048199346238E-7</v>
      </c>
      <c r="W74" s="7">
        <v>206.931421</v>
      </c>
      <c r="X74" s="5">
        <v>206.93144663595257</v>
      </c>
      <c r="Y74" s="9">
        <f t="shared" si="13"/>
        <v>-2.5635952567881759E-5</v>
      </c>
      <c r="Z74" s="7">
        <v>5.3648399600000003</v>
      </c>
      <c r="AA74" s="5">
        <v>5.3648406149844323</v>
      </c>
      <c r="AB74" s="10">
        <f t="shared" si="14"/>
        <v>-6.549844320247189E-7</v>
      </c>
      <c r="AC74" s="7">
        <v>167.65124900000001</v>
      </c>
      <c r="AD74" s="5">
        <v>167.65126921826351</v>
      </c>
      <c r="AE74" s="9">
        <f t="shared" si="15"/>
        <v>-2.0218263500737521E-5</v>
      </c>
    </row>
    <row r="75" spans="1:31" x14ac:dyDescent="0.3">
      <c r="A75">
        <v>1</v>
      </c>
      <c r="B75" s="1">
        <v>0.53170138888888896</v>
      </c>
      <c r="C75">
        <v>18.25</v>
      </c>
      <c r="D75">
        <v>87.09</v>
      </c>
      <c r="E75">
        <v>27.79</v>
      </c>
      <c r="F75">
        <v>10709</v>
      </c>
      <c r="G75">
        <v>29</v>
      </c>
      <c r="H75" s="7">
        <v>85.284156999999993</v>
      </c>
      <c r="I75" s="8">
        <v>85.284167295910038</v>
      </c>
      <c r="J75" s="9">
        <f t="shared" si="8"/>
        <v>-1.029591004453323E-5</v>
      </c>
      <c r="K75" s="7">
        <v>17.8670309</v>
      </c>
      <c r="L75" s="5">
        <v>17.824390964845197</v>
      </c>
      <c r="M75" s="9">
        <f t="shared" si="9"/>
        <v>4.2639935154802799E-2</v>
      </c>
      <c r="N75" s="7">
        <v>173.81765100000001</v>
      </c>
      <c r="O75" s="5">
        <v>173.81767269227868</v>
      </c>
      <c r="P75" s="9">
        <f t="shared" si="10"/>
        <v>-2.1692278664886544E-5</v>
      </c>
      <c r="Q75" s="7">
        <v>130.37432000000001</v>
      </c>
      <c r="R75" s="5">
        <v>130.3743363377977</v>
      </c>
      <c r="S75" s="9">
        <f t="shared" si="11"/>
        <v>-1.633779768894783E-5</v>
      </c>
      <c r="T75" s="7">
        <v>6.5479645199999998</v>
      </c>
      <c r="U75" s="5">
        <v>6.5479653159385709</v>
      </c>
      <c r="V75" s="9">
        <f t="shared" si="12"/>
        <v>-7.9593857105209054E-7</v>
      </c>
      <c r="W75" s="7">
        <v>204.62389099999999</v>
      </c>
      <c r="X75" s="5">
        <v>204.62391612308033</v>
      </c>
      <c r="Y75" s="9">
        <f t="shared" si="13"/>
        <v>-2.5123080348521398E-5</v>
      </c>
      <c r="Z75" s="7">
        <v>5.3050156499999996</v>
      </c>
      <c r="AA75" s="5">
        <v>5.3050162933695946</v>
      </c>
      <c r="AB75" s="10">
        <f t="shared" si="14"/>
        <v>-6.4336959493260792E-7</v>
      </c>
      <c r="AC75" s="7">
        <v>165.78173899999999</v>
      </c>
      <c r="AD75" s="5">
        <v>165.78175916779983</v>
      </c>
      <c r="AE75" s="9">
        <f t="shared" si="15"/>
        <v>-2.0167799846149137E-5</v>
      </c>
    </row>
    <row r="76" spans="1:31" x14ac:dyDescent="0.3">
      <c r="A76">
        <v>1</v>
      </c>
      <c r="B76" s="1">
        <v>0.53187499999999999</v>
      </c>
      <c r="C76">
        <v>18.5</v>
      </c>
      <c r="D76">
        <v>88.07</v>
      </c>
      <c r="E76">
        <v>27.67</v>
      </c>
      <c r="F76">
        <v>10744</v>
      </c>
      <c r="G76">
        <v>29</v>
      </c>
      <c r="H76" s="7">
        <v>86.245901000000003</v>
      </c>
      <c r="I76" s="8">
        <v>86.245911270069172</v>
      </c>
      <c r="J76" s="9">
        <f t="shared" si="8"/>
        <v>-1.0270069168427653E-5</v>
      </c>
      <c r="K76" s="7">
        <v>18.068516200000001</v>
      </c>
      <c r="L76" s="5">
        <v>18.025395455444457</v>
      </c>
      <c r="M76" s="9">
        <f t="shared" si="9"/>
        <v>4.3120744555544377E-2</v>
      </c>
      <c r="N76" s="7">
        <v>175.777782</v>
      </c>
      <c r="O76" s="5">
        <v>175.77780321374044</v>
      </c>
      <c r="P76" s="9">
        <f t="shared" si="10"/>
        <v>-2.12137404389523E-5</v>
      </c>
      <c r="Q76" s="7">
        <v>131.84454299999999</v>
      </c>
      <c r="R76" s="5">
        <v>131.84455919783713</v>
      </c>
      <c r="S76" s="9">
        <f t="shared" si="11"/>
        <v>-1.6197837140907723E-5</v>
      </c>
      <c r="T76" s="7">
        <v>6.6218054799999999</v>
      </c>
      <c r="U76" s="5">
        <v>6.6218062923504819</v>
      </c>
      <c r="V76" s="9">
        <f t="shared" si="12"/>
        <v>-8.1235048199346238E-7</v>
      </c>
      <c r="W76" s="7">
        <v>206.931421</v>
      </c>
      <c r="X76" s="5">
        <v>206.93144663595257</v>
      </c>
      <c r="Y76" s="9">
        <f t="shared" si="13"/>
        <v>-2.5635952567881759E-5</v>
      </c>
      <c r="Z76" s="7">
        <v>5.3648399600000003</v>
      </c>
      <c r="AA76" s="5">
        <v>5.3648406149844323</v>
      </c>
      <c r="AB76" s="10">
        <f t="shared" si="14"/>
        <v>-6.549844320247189E-7</v>
      </c>
      <c r="AC76" s="7">
        <v>167.65124900000001</v>
      </c>
      <c r="AD76" s="5">
        <v>167.65126921826351</v>
      </c>
      <c r="AE76" s="9">
        <f t="shared" si="15"/>
        <v>-2.0218263500737521E-5</v>
      </c>
    </row>
    <row r="77" spans="1:31" x14ac:dyDescent="0.3">
      <c r="A77">
        <v>1</v>
      </c>
      <c r="B77" s="1">
        <v>0.53204861111111112</v>
      </c>
      <c r="C77">
        <v>18.75</v>
      </c>
      <c r="D77">
        <v>88.12</v>
      </c>
      <c r="E77">
        <v>27.66</v>
      </c>
      <c r="F77">
        <v>10684</v>
      </c>
      <c r="G77">
        <v>29</v>
      </c>
      <c r="H77" s="7">
        <v>86.326646999999994</v>
      </c>
      <c r="I77" s="8">
        <v>86.326657633075143</v>
      </c>
      <c r="J77" s="9">
        <f t="shared" si="8"/>
        <v>-1.063307514925782E-5</v>
      </c>
      <c r="K77" s="7">
        <v>18.085432600000001</v>
      </c>
      <c r="L77" s="5">
        <v>18.042271445312704</v>
      </c>
      <c r="M77" s="9">
        <f t="shared" si="9"/>
        <v>4.3161154687297199E-2</v>
      </c>
      <c r="N77" s="7">
        <v>175.942351</v>
      </c>
      <c r="O77" s="5">
        <v>175.94237238690675</v>
      </c>
      <c r="P77" s="9">
        <f t="shared" si="10"/>
        <v>-2.1386906752240975E-5</v>
      </c>
      <c r="Q77" s="7">
        <v>131.96798000000001</v>
      </c>
      <c r="R77" s="5">
        <v>131.9679965698885</v>
      </c>
      <c r="S77" s="9">
        <f t="shared" si="11"/>
        <v>-1.6569888487083517E-5</v>
      </c>
      <c r="T77" s="7">
        <v>6.6280050399999997</v>
      </c>
      <c r="U77" s="5">
        <v>6.6280058531964814</v>
      </c>
      <c r="V77" s="9">
        <f t="shared" si="12"/>
        <v>-8.1319648170818937E-7</v>
      </c>
      <c r="W77" s="7">
        <v>207.125158</v>
      </c>
      <c r="X77" s="5">
        <v>207.12518291239004</v>
      </c>
      <c r="Y77" s="9">
        <f t="shared" si="13"/>
        <v>-2.4912390045983557E-5</v>
      </c>
      <c r="Z77" s="7">
        <v>5.3698627099999996</v>
      </c>
      <c r="AA77" s="5">
        <v>5.3698633617023628</v>
      </c>
      <c r="AB77" s="10">
        <f t="shared" si="14"/>
        <v>-6.51702363185791E-7</v>
      </c>
      <c r="AC77" s="7">
        <v>167.80821</v>
      </c>
      <c r="AD77" s="5">
        <v>167.80823005319883</v>
      </c>
      <c r="AE77" s="9">
        <f t="shared" si="15"/>
        <v>-2.0053198824143692E-5</v>
      </c>
    </row>
    <row r="78" spans="1:31" x14ac:dyDescent="0.3">
      <c r="A78">
        <v>1</v>
      </c>
      <c r="B78" s="1">
        <v>0.53222222222222226</v>
      </c>
      <c r="C78">
        <v>19</v>
      </c>
      <c r="D78">
        <v>88.87</v>
      </c>
      <c r="E78">
        <v>27.57</v>
      </c>
      <c r="F78">
        <v>10705</v>
      </c>
      <c r="G78">
        <v>29</v>
      </c>
      <c r="H78" s="7">
        <v>87.057570999999996</v>
      </c>
      <c r="I78" s="8">
        <v>87.057581291658437</v>
      </c>
      <c r="J78" s="9">
        <f t="shared" si="8"/>
        <v>-1.0291658441019536E-5</v>
      </c>
      <c r="K78" s="7">
        <v>18.238561099999998</v>
      </c>
      <c r="L78" s="5">
        <v>18.195034489956612</v>
      </c>
      <c r="M78" s="9">
        <f t="shared" si="9"/>
        <v>4.3526610043386427E-2</v>
      </c>
      <c r="N78" s="7">
        <v>177.43204600000001</v>
      </c>
      <c r="O78" s="5">
        <v>177.43206799253841</v>
      </c>
      <c r="P78" s="9">
        <f t="shared" si="10"/>
        <v>-2.1992538393078576E-5</v>
      </c>
      <c r="Q78" s="7">
        <v>133.08534700000001</v>
      </c>
      <c r="R78" s="5">
        <v>133.08536325028007</v>
      </c>
      <c r="S78" s="9">
        <f t="shared" si="11"/>
        <v>-1.6250280054919131E-5</v>
      </c>
      <c r="T78" s="7">
        <v>6.6841240400000004</v>
      </c>
      <c r="U78" s="5">
        <v>6.6841248600034087</v>
      </c>
      <c r="V78" s="9">
        <f t="shared" si="12"/>
        <v>-8.2000340828614071E-7</v>
      </c>
      <c r="W78" s="7">
        <v>208.87887599999999</v>
      </c>
      <c r="X78" s="5">
        <v>208.87890187510652</v>
      </c>
      <c r="Y78" s="9">
        <f t="shared" si="13"/>
        <v>-2.5875106530293124E-5</v>
      </c>
      <c r="Z78" s="7">
        <v>5.4153290800000002</v>
      </c>
      <c r="AA78" s="5">
        <v>5.4153297365400244</v>
      </c>
      <c r="AB78" s="10">
        <f t="shared" si="14"/>
        <v>-6.5654002412429691E-7</v>
      </c>
      <c r="AC78" s="7">
        <v>169.22903400000001</v>
      </c>
      <c r="AD78" s="5">
        <v>169.22905426687575</v>
      </c>
      <c r="AE78" s="9">
        <f t="shared" si="15"/>
        <v>-2.0266875736751899E-5</v>
      </c>
    </row>
    <row r="79" spans="1:31" x14ac:dyDescent="0.3">
      <c r="A79">
        <v>1</v>
      </c>
      <c r="B79" s="1">
        <v>0.53239583333333329</v>
      </c>
      <c r="C79">
        <v>19.25</v>
      </c>
      <c r="D79">
        <v>88.76</v>
      </c>
      <c r="E79">
        <v>27.58</v>
      </c>
      <c r="F79">
        <v>10711</v>
      </c>
      <c r="G79">
        <v>29</v>
      </c>
      <c r="H79" s="7">
        <v>86.975981000000004</v>
      </c>
      <c r="I79" s="8">
        <v>86.975991985075368</v>
      </c>
      <c r="J79" s="9">
        <f t="shared" si="8"/>
        <v>-1.0985075363123542E-5</v>
      </c>
      <c r="K79" s="7">
        <v>18.221468099999999</v>
      </c>
      <c r="L79" s="5">
        <v>18.177982324880748</v>
      </c>
      <c r="M79" s="9">
        <f t="shared" si="9"/>
        <v>4.3485775119251002E-2</v>
      </c>
      <c r="N79" s="7">
        <v>177.265759</v>
      </c>
      <c r="O79" s="5">
        <v>177.26578081595568</v>
      </c>
      <c r="P79" s="9">
        <f t="shared" si="10"/>
        <v>-2.1815955676629528E-5</v>
      </c>
      <c r="Q79" s="7">
        <v>132.960621</v>
      </c>
      <c r="R79" s="5">
        <v>132.96063726613437</v>
      </c>
      <c r="S79" s="9">
        <f t="shared" si="11"/>
        <v>-1.6266134366560436E-5</v>
      </c>
      <c r="T79" s="7">
        <v>6.6778597599999996</v>
      </c>
      <c r="U79" s="5">
        <v>6.6778605794622887</v>
      </c>
      <c r="V79" s="9">
        <f t="shared" si="12"/>
        <v>-8.1946228913665209E-7</v>
      </c>
      <c r="W79" s="7">
        <v>208.68311800000001</v>
      </c>
      <c r="X79" s="5">
        <v>208.68314310819653</v>
      </c>
      <c r="Y79" s="9">
        <f t="shared" si="13"/>
        <v>-2.5108196524570303E-5</v>
      </c>
      <c r="Z79" s="7">
        <v>5.4102538899999999</v>
      </c>
      <c r="AA79" s="5">
        <v>5.4102545553603107</v>
      </c>
      <c r="AB79" s="10">
        <f t="shared" si="14"/>
        <v>-6.6536031084751812E-7</v>
      </c>
      <c r="AC79" s="7">
        <v>169.07043400000001</v>
      </c>
      <c r="AD79" s="5">
        <v>169.0704548550097</v>
      </c>
      <c r="AE79" s="9">
        <f t="shared" si="15"/>
        <v>-2.0855009694287219E-5</v>
      </c>
    </row>
    <row r="80" spans="1:31" x14ac:dyDescent="0.3">
      <c r="A80">
        <v>1</v>
      </c>
      <c r="B80" s="1">
        <v>0.53256944444444443</v>
      </c>
      <c r="C80">
        <v>19.5</v>
      </c>
      <c r="D80">
        <v>89.64</v>
      </c>
      <c r="E80">
        <v>27.48</v>
      </c>
      <c r="F80">
        <v>10682</v>
      </c>
      <c r="G80">
        <v>29</v>
      </c>
      <c r="H80" s="7">
        <v>87.796137000000002</v>
      </c>
      <c r="I80" s="8">
        <v>87.796147939259839</v>
      </c>
      <c r="J80" s="9">
        <f t="shared" si="8"/>
        <v>-1.093925983752797E-5</v>
      </c>
      <c r="K80" s="7">
        <v>18.393290700000001</v>
      </c>
      <c r="L80" s="5">
        <v>18.349394919305304</v>
      </c>
      <c r="M80" s="9">
        <f t="shared" si="9"/>
        <v>4.3895780694697351E-2</v>
      </c>
      <c r="N80" s="7">
        <v>178.937319</v>
      </c>
      <c r="O80" s="5">
        <v>178.93734077510297</v>
      </c>
      <c r="P80" s="9">
        <f t="shared" si="10"/>
        <v>-2.1775102965193582E-5</v>
      </c>
      <c r="Q80" s="7">
        <v>134.21439699999999</v>
      </c>
      <c r="R80" s="5">
        <v>134.21441380650077</v>
      </c>
      <c r="S80" s="9">
        <f t="shared" si="11"/>
        <v>-1.6806500781285649E-5</v>
      </c>
      <c r="T80" s="7">
        <v>6.7408298599999998</v>
      </c>
      <c r="U80" s="5">
        <v>6.7408306817912109</v>
      </c>
      <c r="V80" s="9">
        <f t="shared" si="12"/>
        <v>-8.2179121108083564E-7</v>
      </c>
      <c r="W80" s="7">
        <v>210.65093300000001</v>
      </c>
      <c r="X80" s="5">
        <v>210.65095880597534</v>
      </c>
      <c r="Y80" s="9">
        <f t="shared" si="13"/>
        <v>-2.5805975326420594E-5</v>
      </c>
      <c r="Z80" s="7">
        <v>5.4612708699999999</v>
      </c>
      <c r="AA80" s="5">
        <v>5.4612715358621688</v>
      </c>
      <c r="AB80" s="10">
        <f t="shared" si="14"/>
        <v>-6.6586216895814232E-7</v>
      </c>
      <c r="AC80" s="7">
        <v>170.664715</v>
      </c>
      <c r="AD80" s="5">
        <v>170.66473549569278</v>
      </c>
      <c r="AE80" s="9">
        <f t="shared" si="15"/>
        <v>-2.0495692780286845E-5</v>
      </c>
    </row>
    <row r="81" spans="1:31" x14ac:dyDescent="0.3">
      <c r="A81">
        <v>1</v>
      </c>
      <c r="B81" s="1">
        <v>0.53274305555555557</v>
      </c>
      <c r="C81">
        <v>19.75</v>
      </c>
      <c r="D81">
        <v>89.04</v>
      </c>
      <c r="E81">
        <v>27.55</v>
      </c>
      <c r="F81">
        <v>10687</v>
      </c>
      <c r="G81">
        <v>29</v>
      </c>
      <c r="H81" s="7">
        <v>87.221031999999994</v>
      </c>
      <c r="I81" s="8">
        <v>87.221043113924097</v>
      </c>
      <c r="J81" s="9">
        <f t="shared" si="8"/>
        <v>-1.111392410280132E-5</v>
      </c>
      <c r="K81" s="7">
        <v>18.272806299999999</v>
      </c>
      <c r="L81" s="5">
        <v>18.229198010810133</v>
      </c>
      <c r="M81" s="9">
        <f t="shared" si="9"/>
        <v>4.3608289189865701E-2</v>
      </c>
      <c r="N81" s="7">
        <v>177.765198</v>
      </c>
      <c r="O81" s="5">
        <v>177.76521955420722</v>
      </c>
      <c r="P81" s="9">
        <f t="shared" si="10"/>
        <v>-2.1554207222607147E-5</v>
      </c>
      <c r="Q81" s="7">
        <v>133.33523199999999</v>
      </c>
      <c r="R81" s="5">
        <v>133.33524816174915</v>
      </c>
      <c r="S81" s="9">
        <f t="shared" si="11"/>
        <v>-1.6161749158527527E-5</v>
      </c>
      <c r="T81" s="7">
        <v>6.6966743500000003</v>
      </c>
      <c r="U81" s="5">
        <v>6.6966751653720706</v>
      </c>
      <c r="V81" s="9">
        <f t="shared" si="12"/>
        <v>-8.1537207030635273E-7</v>
      </c>
      <c r="W81" s="7">
        <v>209.271073</v>
      </c>
      <c r="X81" s="5">
        <v>209.2710989178772</v>
      </c>
      <c r="Y81" s="9">
        <f t="shared" si="13"/>
        <v>-2.5917877195524852E-5</v>
      </c>
      <c r="Z81" s="7">
        <v>5.4254970499999997</v>
      </c>
      <c r="AA81" s="5">
        <v>5.4254977156381203</v>
      </c>
      <c r="AB81" s="10">
        <f t="shared" si="14"/>
        <v>-6.6563812062270244E-7</v>
      </c>
      <c r="AC81" s="7">
        <v>169.546783</v>
      </c>
      <c r="AD81" s="5">
        <v>169.54680361369125</v>
      </c>
      <c r="AE81" s="9">
        <f t="shared" si="15"/>
        <v>-2.0613691248172472E-5</v>
      </c>
    </row>
    <row r="82" spans="1:31" x14ac:dyDescent="0.3">
      <c r="A82">
        <v>1</v>
      </c>
      <c r="B82" s="1">
        <v>0.53291666666666659</v>
      </c>
      <c r="C82">
        <v>20</v>
      </c>
      <c r="D82">
        <v>89.01</v>
      </c>
      <c r="E82">
        <v>27.55</v>
      </c>
      <c r="F82">
        <v>10671</v>
      </c>
      <c r="G82">
        <v>29</v>
      </c>
      <c r="H82" s="7">
        <v>87.221031999999994</v>
      </c>
      <c r="I82" s="8">
        <v>87.221043113924097</v>
      </c>
      <c r="J82" s="9">
        <f t="shared" si="8"/>
        <v>-1.111392410280132E-5</v>
      </c>
      <c r="K82" s="7">
        <v>18.272806299999999</v>
      </c>
      <c r="L82" s="5">
        <v>18.229198010810133</v>
      </c>
      <c r="M82" s="9">
        <f t="shared" si="9"/>
        <v>4.3608289189865701E-2</v>
      </c>
      <c r="N82" s="7">
        <v>177.765198</v>
      </c>
      <c r="O82" s="5">
        <v>177.76521955420722</v>
      </c>
      <c r="P82" s="9">
        <f t="shared" si="10"/>
        <v>-2.1554207222607147E-5</v>
      </c>
      <c r="Q82" s="7">
        <v>133.33523199999999</v>
      </c>
      <c r="R82" s="5">
        <v>133.33524816174915</v>
      </c>
      <c r="S82" s="9">
        <f t="shared" si="11"/>
        <v>-1.6161749158527527E-5</v>
      </c>
      <c r="T82" s="7">
        <v>6.6966743500000003</v>
      </c>
      <c r="U82" s="5">
        <v>6.6966751653720706</v>
      </c>
      <c r="V82" s="9">
        <f t="shared" si="12"/>
        <v>-8.1537207030635273E-7</v>
      </c>
      <c r="W82" s="7">
        <v>209.271073</v>
      </c>
      <c r="X82" s="5">
        <v>209.2710989178772</v>
      </c>
      <c r="Y82" s="9">
        <f t="shared" si="13"/>
        <v>-2.5917877195524852E-5</v>
      </c>
      <c r="Z82" s="7">
        <v>5.4254970499999997</v>
      </c>
      <c r="AA82" s="5">
        <v>5.4254977156381203</v>
      </c>
      <c r="AB82" s="10">
        <f t="shared" si="14"/>
        <v>-6.6563812062270244E-7</v>
      </c>
      <c r="AC82" s="7">
        <v>169.546783</v>
      </c>
      <c r="AD82" s="5">
        <v>169.54680361369125</v>
      </c>
      <c r="AE82" s="9">
        <f t="shared" si="15"/>
        <v>-2.0613691248172472E-5</v>
      </c>
    </row>
    <row r="83" spans="1:31" x14ac:dyDescent="0.3">
      <c r="A83">
        <v>1</v>
      </c>
      <c r="B83" s="1">
        <v>0.53309027777777784</v>
      </c>
      <c r="C83">
        <v>20.25</v>
      </c>
      <c r="D83">
        <v>90.52</v>
      </c>
      <c r="E83">
        <v>27.38</v>
      </c>
      <c r="F83">
        <v>10695</v>
      </c>
      <c r="G83">
        <v>29</v>
      </c>
      <c r="H83" s="7">
        <v>88.625855999999999</v>
      </c>
      <c r="I83" s="8">
        <v>88.625866583227875</v>
      </c>
      <c r="J83" s="9">
        <f t="shared" si="8"/>
        <v>-1.0583227876281853E-5</v>
      </c>
      <c r="K83" s="7">
        <v>18.567116800000001</v>
      </c>
      <c r="L83" s="5">
        <v>18.522806115894625</v>
      </c>
      <c r="M83" s="9">
        <f t="shared" si="9"/>
        <v>4.4310684105376197E-2</v>
      </c>
      <c r="N83" s="7">
        <v>180.62836799999999</v>
      </c>
      <c r="O83" s="5">
        <v>180.6283904535681</v>
      </c>
      <c r="P83" s="9">
        <f t="shared" si="10"/>
        <v>-2.2453568107039246E-5</v>
      </c>
      <c r="Q83" s="7">
        <v>135.48279199999999</v>
      </c>
      <c r="R83" s="5">
        <v>135.48280887893077</v>
      </c>
      <c r="S83" s="9">
        <f t="shared" si="11"/>
        <v>-1.6878930779284929E-5</v>
      </c>
      <c r="T83" s="7">
        <v>6.8045341600000002</v>
      </c>
      <c r="U83" s="5">
        <v>6.8045349902807288</v>
      </c>
      <c r="V83" s="9">
        <f t="shared" si="12"/>
        <v>-8.3028072861424107E-7</v>
      </c>
      <c r="W83" s="7">
        <v>212.64169200000001</v>
      </c>
      <c r="X83" s="5">
        <v>212.64171844627276</v>
      </c>
      <c r="Y83" s="9">
        <f t="shared" si="13"/>
        <v>-2.6446272755720202E-5</v>
      </c>
      <c r="Z83" s="7">
        <v>5.5128826799999997</v>
      </c>
      <c r="AA83" s="5">
        <v>5.5128833539138178</v>
      </c>
      <c r="AB83" s="10">
        <f t="shared" si="14"/>
        <v>-6.7391381808334927E-7</v>
      </c>
      <c r="AC83" s="7">
        <v>172.27758399999999</v>
      </c>
      <c r="AD83" s="5">
        <v>172.2776048098068</v>
      </c>
      <c r="AE83" s="9">
        <f t="shared" si="15"/>
        <v>-2.0809806812849274E-5</v>
      </c>
    </row>
    <row r="84" spans="1:31" x14ac:dyDescent="0.3">
      <c r="A84">
        <v>1</v>
      </c>
      <c r="B84" s="1">
        <v>0.53326388888888887</v>
      </c>
      <c r="C84">
        <v>20.5</v>
      </c>
      <c r="D84">
        <v>90.37</v>
      </c>
      <c r="E84">
        <v>27.39</v>
      </c>
      <c r="F84">
        <v>10667</v>
      </c>
      <c r="G84">
        <v>29</v>
      </c>
      <c r="H84" s="7">
        <v>88.542450000000002</v>
      </c>
      <c r="I84" s="8">
        <v>88.542460335645359</v>
      </c>
      <c r="J84" s="9">
        <f t="shared" si="8"/>
        <v>-1.0335645356462919E-5</v>
      </c>
      <c r="K84" s="7">
        <v>18.549643199999998</v>
      </c>
      <c r="L84" s="5">
        <v>18.505374210149878</v>
      </c>
      <c r="M84" s="9">
        <f t="shared" si="9"/>
        <v>4.4268989850120732E-2</v>
      </c>
      <c r="N84" s="7">
        <v>180.45837800000001</v>
      </c>
      <c r="O84" s="5">
        <v>180.4584001692931</v>
      </c>
      <c r="P84" s="9">
        <f t="shared" si="10"/>
        <v>-2.2169293089291386E-5</v>
      </c>
      <c r="Q84" s="7">
        <v>135.355289</v>
      </c>
      <c r="R84" s="5">
        <v>135.35530532792268</v>
      </c>
      <c r="S84" s="9">
        <f t="shared" si="11"/>
        <v>-1.6327922679693074E-5</v>
      </c>
      <c r="T84" s="7">
        <v>6.7981303799999999</v>
      </c>
      <c r="U84" s="5">
        <v>6.7981312082703109</v>
      </c>
      <c r="V84" s="9">
        <f t="shared" si="12"/>
        <v>-8.2827031100407567E-7</v>
      </c>
      <c r="W84" s="7">
        <v>212.441574</v>
      </c>
      <c r="X84" s="5">
        <v>212.44160025844721</v>
      </c>
      <c r="Y84" s="9">
        <f t="shared" si="13"/>
        <v>-2.625844720682835E-5</v>
      </c>
      <c r="Z84" s="7">
        <v>5.5076944799999996</v>
      </c>
      <c r="AA84" s="5">
        <v>5.5076951517372184</v>
      </c>
      <c r="AB84" s="10">
        <f t="shared" si="14"/>
        <v>-6.7173721873814429E-7</v>
      </c>
      <c r="AC84" s="7">
        <v>172.115452</v>
      </c>
      <c r="AD84" s="5">
        <v>172.11547349178807</v>
      </c>
      <c r="AE84" s="9">
        <f t="shared" si="15"/>
        <v>-2.1491788061211992E-5</v>
      </c>
    </row>
    <row r="85" spans="1:31" x14ac:dyDescent="0.3">
      <c r="A85">
        <v>1</v>
      </c>
      <c r="B85" s="1">
        <v>0.53343750000000001</v>
      </c>
      <c r="C85">
        <v>20.75</v>
      </c>
      <c r="D85">
        <v>88.89</v>
      </c>
      <c r="E85">
        <v>27.57</v>
      </c>
      <c r="F85">
        <v>10649</v>
      </c>
      <c r="G85">
        <v>29</v>
      </c>
      <c r="H85" s="7">
        <v>87.057570999999996</v>
      </c>
      <c r="I85" s="8">
        <v>87.057581291658437</v>
      </c>
      <c r="J85" s="9">
        <f t="shared" si="8"/>
        <v>-1.0291658441019536E-5</v>
      </c>
      <c r="K85" s="7">
        <v>18.238561099999998</v>
      </c>
      <c r="L85" s="5">
        <v>18.195034489956612</v>
      </c>
      <c r="M85" s="9">
        <f t="shared" si="9"/>
        <v>4.3526610043386427E-2</v>
      </c>
      <c r="N85" s="7">
        <v>177.43204600000001</v>
      </c>
      <c r="O85" s="5">
        <v>177.43206799253841</v>
      </c>
      <c r="P85" s="9">
        <f t="shared" si="10"/>
        <v>-2.1992538393078576E-5</v>
      </c>
      <c r="Q85" s="7">
        <v>133.08534700000001</v>
      </c>
      <c r="R85" s="5">
        <v>133.08536325028007</v>
      </c>
      <c r="S85" s="9">
        <f t="shared" si="11"/>
        <v>-1.6250280054919131E-5</v>
      </c>
      <c r="T85" s="7">
        <v>6.6841240400000004</v>
      </c>
      <c r="U85" s="5">
        <v>6.6841248600034087</v>
      </c>
      <c r="V85" s="9">
        <f t="shared" si="12"/>
        <v>-8.2000340828614071E-7</v>
      </c>
      <c r="W85" s="7">
        <v>208.87887599999999</v>
      </c>
      <c r="X85" s="5">
        <v>208.87890187510652</v>
      </c>
      <c r="Y85" s="9">
        <f t="shared" si="13"/>
        <v>-2.5875106530293124E-5</v>
      </c>
      <c r="Z85" s="7">
        <v>5.4153290800000002</v>
      </c>
      <c r="AA85" s="5">
        <v>5.4153297365400244</v>
      </c>
      <c r="AB85" s="10">
        <f t="shared" si="14"/>
        <v>-6.5654002412429691E-7</v>
      </c>
      <c r="AC85" s="7">
        <v>169.22903400000001</v>
      </c>
      <c r="AD85" s="5">
        <v>169.22905426687575</v>
      </c>
      <c r="AE85" s="9">
        <f t="shared" si="15"/>
        <v>-2.0266875736751899E-5</v>
      </c>
    </row>
    <row r="86" spans="1:31" x14ac:dyDescent="0.3">
      <c r="A86">
        <v>1</v>
      </c>
      <c r="B86" s="1">
        <v>0.53361111111111115</v>
      </c>
      <c r="C86">
        <v>21</v>
      </c>
      <c r="D86">
        <v>88.92</v>
      </c>
      <c r="E86">
        <v>27.57</v>
      </c>
      <c r="F86">
        <v>10676</v>
      </c>
      <c r="G86">
        <v>29</v>
      </c>
      <c r="H86" s="7">
        <v>87.057570999999996</v>
      </c>
      <c r="I86" s="8">
        <v>87.057581291658437</v>
      </c>
      <c r="J86" s="9">
        <f t="shared" si="8"/>
        <v>-1.0291658441019536E-5</v>
      </c>
      <c r="K86" s="7">
        <v>18.238561099999998</v>
      </c>
      <c r="L86" s="5">
        <v>18.195034489956612</v>
      </c>
      <c r="M86" s="9">
        <f t="shared" si="9"/>
        <v>4.3526610043386427E-2</v>
      </c>
      <c r="N86" s="7">
        <v>177.43204600000001</v>
      </c>
      <c r="O86" s="5">
        <v>177.43206799253841</v>
      </c>
      <c r="P86" s="9">
        <f t="shared" si="10"/>
        <v>-2.1992538393078576E-5</v>
      </c>
      <c r="Q86" s="7">
        <v>133.08534700000001</v>
      </c>
      <c r="R86" s="5">
        <v>133.08536325028007</v>
      </c>
      <c r="S86" s="9">
        <f t="shared" si="11"/>
        <v>-1.6250280054919131E-5</v>
      </c>
      <c r="T86" s="7">
        <v>6.6841240400000004</v>
      </c>
      <c r="U86" s="5">
        <v>6.6841248600034087</v>
      </c>
      <c r="V86" s="9">
        <f t="shared" si="12"/>
        <v>-8.2000340828614071E-7</v>
      </c>
      <c r="W86" s="7">
        <v>208.87887599999999</v>
      </c>
      <c r="X86" s="5">
        <v>208.87890187510652</v>
      </c>
      <c r="Y86" s="9">
        <f t="shared" si="13"/>
        <v>-2.5875106530293124E-5</v>
      </c>
      <c r="Z86" s="7">
        <v>5.4153290800000002</v>
      </c>
      <c r="AA86" s="5">
        <v>5.4153297365400244</v>
      </c>
      <c r="AB86" s="10">
        <f t="shared" si="14"/>
        <v>-6.5654002412429691E-7</v>
      </c>
      <c r="AC86" s="7">
        <v>169.22903400000001</v>
      </c>
      <c r="AD86" s="5">
        <v>169.22905426687575</v>
      </c>
      <c r="AE86" s="9">
        <f t="shared" si="15"/>
        <v>-2.0266875736751899E-5</v>
      </c>
    </row>
    <row r="87" spans="1:31" x14ac:dyDescent="0.3">
      <c r="A87">
        <v>1</v>
      </c>
      <c r="B87" s="1">
        <v>0.53378472222222217</v>
      </c>
      <c r="C87">
        <v>21.25</v>
      </c>
      <c r="D87">
        <v>89.75</v>
      </c>
      <c r="E87">
        <v>27.47</v>
      </c>
      <c r="F87">
        <v>10627</v>
      </c>
      <c r="G87">
        <v>29</v>
      </c>
      <c r="H87" s="7">
        <v>87.878675999999999</v>
      </c>
      <c r="I87" s="8">
        <v>87.878687138577334</v>
      </c>
      <c r="J87" s="9">
        <f t="shared" si="8"/>
        <v>-1.1138577335145783E-5</v>
      </c>
      <c r="K87" s="7">
        <v>18.410582699999999</v>
      </c>
      <c r="L87" s="5">
        <v>18.36664561196266</v>
      </c>
      <c r="M87" s="9">
        <f t="shared" si="9"/>
        <v>4.3937088037338867E-2</v>
      </c>
      <c r="N87" s="7">
        <v>179.10554200000001</v>
      </c>
      <c r="O87" s="5">
        <v>179.10556392819387</v>
      </c>
      <c r="P87" s="9">
        <f t="shared" si="10"/>
        <v>-2.1928193859821477E-5</v>
      </c>
      <c r="Q87" s="7">
        <v>134.340575</v>
      </c>
      <c r="R87" s="5">
        <v>134.3405918964566</v>
      </c>
      <c r="S87" s="9">
        <f t="shared" si="11"/>
        <v>-1.6896456600079546E-5</v>
      </c>
      <c r="T87" s="7">
        <v>6.7471670699999997</v>
      </c>
      <c r="U87" s="5">
        <v>6.7471678933918238</v>
      </c>
      <c r="V87" s="9">
        <f t="shared" si="12"/>
        <v>-8.2339182405632982E-7</v>
      </c>
      <c r="W87" s="7">
        <v>210.84897100000001</v>
      </c>
      <c r="X87" s="5">
        <v>210.84899666849449</v>
      </c>
      <c r="Y87" s="9">
        <f t="shared" si="13"/>
        <v>-2.566849448726316E-5</v>
      </c>
      <c r="Z87" s="7">
        <v>5.46640514</v>
      </c>
      <c r="AA87" s="5">
        <v>5.4664058041689882</v>
      </c>
      <c r="AB87" s="10">
        <f t="shared" si="14"/>
        <v>-6.6416898825139015E-7</v>
      </c>
      <c r="AC87" s="7">
        <v>170.82516100000001</v>
      </c>
      <c r="AD87" s="5">
        <v>170.8251813802809</v>
      </c>
      <c r="AE87" s="9">
        <f t="shared" si="15"/>
        <v>-2.0380280886911351E-5</v>
      </c>
    </row>
    <row r="88" spans="1:31" x14ac:dyDescent="0.3">
      <c r="A88">
        <v>1</v>
      </c>
      <c r="B88" s="1">
        <v>0.53395833333333331</v>
      </c>
      <c r="C88">
        <v>21.5</v>
      </c>
      <c r="D88">
        <v>89.71</v>
      </c>
      <c r="E88">
        <v>27.47</v>
      </c>
      <c r="F88">
        <v>10649</v>
      </c>
      <c r="G88">
        <v>29</v>
      </c>
      <c r="H88" s="7">
        <v>87.878675999999999</v>
      </c>
      <c r="I88" s="8">
        <v>87.878687138577334</v>
      </c>
      <c r="J88" s="9">
        <f t="shared" si="8"/>
        <v>-1.1138577335145783E-5</v>
      </c>
      <c r="K88" s="7">
        <v>18.410582699999999</v>
      </c>
      <c r="L88" s="5">
        <v>18.36664561196266</v>
      </c>
      <c r="M88" s="9">
        <f t="shared" si="9"/>
        <v>4.3937088037338867E-2</v>
      </c>
      <c r="N88" s="7">
        <v>179.10554200000001</v>
      </c>
      <c r="O88" s="5">
        <v>179.10556392819387</v>
      </c>
      <c r="P88" s="9">
        <f t="shared" si="10"/>
        <v>-2.1928193859821477E-5</v>
      </c>
      <c r="Q88" s="7">
        <v>134.340575</v>
      </c>
      <c r="R88" s="5">
        <v>134.3405918964566</v>
      </c>
      <c r="S88" s="9">
        <f t="shared" si="11"/>
        <v>-1.6896456600079546E-5</v>
      </c>
      <c r="T88" s="7">
        <v>6.7471670699999997</v>
      </c>
      <c r="U88" s="5">
        <v>6.7471678933918238</v>
      </c>
      <c r="V88" s="9">
        <f t="shared" si="12"/>
        <v>-8.2339182405632982E-7</v>
      </c>
      <c r="W88" s="7">
        <v>210.84897100000001</v>
      </c>
      <c r="X88" s="5">
        <v>210.84899666849449</v>
      </c>
      <c r="Y88" s="9">
        <f t="shared" si="13"/>
        <v>-2.566849448726316E-5</v>
      </c>
      <c r="Z88" s="7">
        <v>5.46640514</v>
      </c>
      <c r="AA88" s="5">
        <v>5.4664058041689882</v>
      </c>
      <c r="AB88" s="10">
        <f t="shared" si="14"/>
        <v>-6.6416898825139015E-7</v>
      </c>
      <c r="AC88" s="7">
        <v>170.82516100000001</v>
      </c>
      <c r="AD88" s="5">
        <v>170.8251813802809</v>
      </c>
      <c r="AE88" s="9">
        <f t="shared" si="15"/>
        <v>-2.0380280886911351E-5</v>
      </c>
    </row>
    <row r="89" spans="1:31" x14ac:dyDescent="0.3">
      <c r="A89">
        <v>1</v>
      </c>
      <c r="B89" s="1">
        <v>0.53413194444444445</v>
      </c>
      <c r="C89">
        <v>21.75</v>
      </c>
      <c r="D89">
        <v>88.12</v>
      </c>
      <c r="E89">
        <v>27.66</v>
      </c>
      <c r="F89">
        <v>10625</v>
      </c>
      <c r="G89">
        <v>29</v>
      </c>
      <c r="H89" s="7">
        <v>86.326646999999994</v>
      </c>
      <c r="I89" s="8">
        <v>86.326657633075143</v>
      </c>
      <c r="J89" s="9">
        <f t="shared" si="8"/>
        <v>-1.063307514925782E-5</v>
      </c>
      <c r="K89" s="7">
        <v>18.085432600000001</v>
      </c>
      <c r="L89" s="5">
        <v>18.042271445312704</v>
      </c>
      <c r="M89" s="9">
        <f t="shared" si="9"/>
        <v>4.3161154687297199E-2</v>
      </c>
      <c r="N89" s="7">
        <v>175.942351</v>
      </c>
      <c r="O89" s="5">
        <v>175.94237238690675</v>
      </c>
      <c r="P89" s="9">
        <f t="shared" si="10"/>
        <v>-2.1386906752240975E-5</v>
      </c>
      <c r="Q89" s="7">
        <v>131.96798000000001</v>
      </c>
      <c r="R89" s="5">
        <v>131.9679965698885</v>
      </c>
      <c r="S89" s="9">
        <f t="shared" si="11"/>
        <v>-1.6569888487083517E-5</v>
      </c>
      <c r="T89" s="7">
        <v>6.6280050399999997</v>
      </c>
      <c r="U89" s="5">
        <v>6.6280058531964814</v>
      </c>
      <c r="V89" s="9">
        <f t="shared" si="12"/>
        <v>-8.1319648170818937E-7</v>
      </c>
      <c r="W89" s="7">
        <v>207.125158</v>
      </c>
      <c r="X89" s="5">
        <v>207.12518291239004</v>
      </c>
      <c r="Y89" s="9">
        <f t="shared" si="13"/>
        <v>-2.4912390045983557E-5</v>
      </c>
      <c r="Z89" s="7">
        <v>5.3698627099999996</v>
      </c>
      <c r="AA89" s="5">
        <v>5.3698633617023628</v>
      </c>
      <c r="AB89" s="10">
        <f t="shared" si="14"/>
        <v>-6.51702363185791E-7</v>
      </c>
      <c r="AC89" s="7">
        <v>167.80821</v>
      </c>
      <c r="AD89" s="5">
        <v>167.80823005319883</v>
      </c>
      <c r="AE89" s="9">
        <f t="shared" si="15"/>
        <v>-2.0053198824143692E-5</v>
      </c>
    </row>
    <row r="90" spans="1:31" x14ac:dyDescent="0.3">
      <c r="A90">
        <v>1</v>
      </c>
      <c r="B90" s="1">
        <v>0.53430555555555559</v>
      </c>
      <c r="C90">
        <v>22</v>
      </c>
      <c r="D90">
        <v>89.04</v>
      </c>
      <c r="E90">
        <v>27.55</v>
      </c>
      <c r="F90">
        <v>10645</v>
      </c>
      <c r="G90">
        <v>29</v>
      </c>
      <c r="H90" s="7">
        <v>87.221031999999994</v>
      </c>
      <c r="I90" s="8">
        <v>87.221043113924097</v>
      </c>
      <c r="J90" s="9">
        <f t="shared" si="8"/>
        <v>-1.111392410280132E-5</v>
      </c>
      <c r="K90" s="7">
        <v>18.272806299999999</v>
      </c>
      <c r="L90" s="5">
        <v>18.229198010810133</v>
      </c>
      <c r="M90" s="9">
        <f t="shared" si="9"/>
        <v>4.3608289189865701E-2</v>
      </c>
      <c r="N90" s="7">
        <v>177.765198</v>
      </c>
      <c r="O90" s="5">
        <v>177.76521955420722</v>
      </c>
      <c r="P90" s="9">
        <f t="shared" si="10"/>
        <v>-2.1554207222607147E-5</v>
      </c>
      <c r="Q90" s="7">
        <v>133.33523199999999</v>
      </c>
      <c r="R90" s="5">
        <v>133.33524816174915</v>
      </c>
      <c r="S90" s="9">
        <f t="shared" si="11"/>
        <v>-1.6161749158527527E-5</v>
      </c>
      <c r="T90" s="7">
        <v>6.6966743500000003</v>
      </c>
      <c r="U90" s="5">
        <v>6.6966751653720706</v>
      </c>
      <c r="V90" s="9">
        <f t="shared" si="12"/>
        <v>-8.1537207030635273E-7</v>
      </c>
      <c r="W90" s="7">
        <v>209.271073</v>
      </c>
      <c r="X90" s="5">
        <v>209.2710989178772</v>
      </c>
      <c r="Y90" s="9">
        <f t="shared" si="13"/>
        <v>-2.5917877195524852E-5</v>
      </c>
      <c r="Z90" s="7">
        <v>5.4254970499999997</v>
      </c>
      <c r="AA90" s="5">
        <v>5.4254977156381203</v>
      </c>
      <c r="AB90" s="10">
        <f t="shared" si="14"/>
        <v>-6.6563812062270244E-7</v>
      </c>
      <c r="AC90" s="7">
        <v>169.546783</v>
      </c>
      <c r="AD90" s="5">
        <v>169.54680361369125</v>
      </c>
      <c r="AE90" s="9">
        <f t="shared" si="15"/>
        <v>-2.0613691248172472E-5</v>
      </c>
    </row>
    <row r="91" spans="1:31" x14ac:dyDescent="0.3">
      <c r="A91">
        <v>1</v>
      </c>
      <c r="B91" s="1">
        <v>0.53447916666666673</v>
      </c>
      <c r="C91">
        <v>22.25</v>
      </c>
      <c r="D91">
        <v>88.56</v>
      </c>
      <c r="E91">
        <v>27.61</v>
      </c>
      <c r="F91">
        <v>10664</v>
      </c>
      <c r="G91">
        <v>29</v>
      </c>
      <c r="H91" s="7">
        <v>86.731778000000006</v>
      </c>
      <c r="I91" s="8">
        <v>86.731788806585669</v>
      </c>
      <c r="J91" s="9">
        <f t="shared" si="8"/>
        <v>-1.0806585663658552E-5</v>
      </c>
      <c r="K91" s="7">
        <v>18.1703075</v>
      </c>
      <c r="L91" s="5">
        <v>18.126943860576404</v>
      </c>
      <c r="M91" s="9">
        <f t="shared" si="9"/>
        <v>4.3363639423596112E-2</v>
      </c>
      <c r="N91" s="7">
        <v>176.76804899999999</v>
      </c>
      <c r="O91" s="5">
        <v>176.76807028544351</v>
      </c>
      <c r="P91" s="9">
        <f t="shared" si="10"/>
        <v>-2.1285443523311187E-5</v>
      </c>
      <c r="Q91" s="7">
        <v>132.58730600000001</v>
      </c>
      <c r="R91" s="5">
        <v>132.58732263650674</v>
      </c>
      <c r="S91" s="9">
        <f t="shared" si="11"/>
        <v>-1.6636506728673339E-5</v>
      </c>
      <c r="T91" s="7">
        <v>6.6591102800000002</v>
      </c>
      <c r="U91" s="5">
        <v>6.6591110976593608</v>
      </c>
      <c r="V91" s="9">
        <f t="shared" si="12"/>
        <v>-8.1765936066346967E-7</v>
      </c>
      <c r="W91" s="7">
        <v>208.097196</v>
      </c>
      <c r="X91" s="5">
        <v>208.09722180185503</v>
      </c>
      <c r="Y91" s="9">
        <f t="shared" si="13"/>
        <v>-2.5801855031204468E-5</v>
      </c>
      <c r="Z91" s="7">
        <v>5.3950634800000001</v>
      </c>
      <c r="AA91" s="5">
        <v>5.3950641409861451</v>
      </c>
      <c r="AB91" s="10">
        <f t="shared" si="14"/>
        <v>-6.6098614492915431E-7</v>
      </c>
      <c r="AC91" s="7">
        <v>168.59573399999999</v>
      </c>
      <c r="AD91" s="5">
        <v>168.59575440581705</v>
      </c>
      <c r="AE91" s="9">
        <f t="shared" si="15"/>
        <v>-2.0405817053870123E-5</v>
      </c>
    </row>
    <row r="92" spans="1:31" x14ac:dyDescent="0.3">
      <c r="A92">
        <v>1</v>
      </c>
      <c r="B92" s="1">
        <v>0.53465277777777775</v>
      </c>
      <c r="C92">
        <v>22.5</v>
      </c>
      <c r="D92">
        <v>90.62</v>
      </c>
      <c r="E92">
        <v>27.36</v>
      </c>
      <c r="F92">
        <v>10591</v>
      </c>
      <c r="G92">
        <v>29</v>
      </c>
      <c r="H92" s="7">
        <v>88.792959999999994</v>
      </c>
      <c r="I92" s="8">
        <v>88.792970393075421</v>
      </c>
      <c r="J92" s="9">
        <f t="shared" si="8"/>
        <v>-1.039307542782808E-5</v>
      </c>
      <c r="K92" s="7">
        <v>18.602125000000001</v>
      </c>
      <c r="L92" s="5">
        <v>18.557730812152762</v>
      </c>
      <c r="M92" s="9">
        <f t="shared" si="9"/>
        <v>4.4394187847238697E-2</v>
      </c>
      <c r="N92" s="7">
        <v>180.968943</v>
      </c>
      <c r="O92" s="5">
        <v>180.96896475061124</v>
      </c>
      <c r="P92" s="9">
        <f t="shared" si="10"/>
        <v>-2.1750611239212958E-5</v>
      </c>
      <c r="Q92" s="7">
        <v>135.73824500000001</v>
      </c>
      <c r="R92" s="5">
        <v>135.73826131517021</v>
      </c>
      <c r="S92" s="9">
        <f t="shared" si="11"/>
        <v>-1.6315170199732165E-5</v>
      </c>
      <c r="T92" s="7">
        <v>6.8173640899999999</v>
      </c>
      <c r="U92" s="5">
        <v>6.8173649209200988</v>
      </c>
      <c r="V92" s="9">
        <f t="shared" si="12"/>
        <v>-8.3092009894869534E-7</v>
      </c>
      <c r="W92" s="7">
        <v>213.04262800000001</v>
      </c>
      <c r="X92" s="5">
        <v>213.04265377875308</v>
      </c>
      <c r="Y92" s="9">
        <f t="shared" si="13"/>
        <v>-2.5778753069971572E-5</v>
      </c>
      <c r="Z92" s="7">
        <v>5.5232771999999999</v>
      </c>
      <c r="AA92" s="5">
        <v>5.5232778792053585</v>
      </c>
      <c r="AB92" s="10">
        <f t="shared" si="14"/>
        <v>-6.7920535862242559E-7</v>
      </c>
      <c r="AC92" s="7">
        <v>172.60241300000001</v>
      </c>
      <c r="AD92" s="5">
        <v>172.60243372516746</v>
      </c>
      <c r="AE92" s="9">
        <f t="shared" si="15"/>
        <v>-2.0725167445334591E-5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2023-04-02_Deep_Extra_Test_Run_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Parker</dc:creator>
  <cp:lastModifiedBy>Katie Parker</cp:lastModifiedBy>
  <dcterms:created xsi:type="dcterms:W3CDTF">2023-09-12T18:59:46Z</dcterms:created>
  <dcterms:modified xsi:type="dcterms:W3CDTF">2023-09-12T19:03:04Z</dcterms:modified>
</cp:coreProperties>
</file>